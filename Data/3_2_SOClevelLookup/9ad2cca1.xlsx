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cationgovuk-my.sharepoint.com/personal/paul_james_education_gov_uk/Documents/Documents/RProjects/jobsDataExplorer/Data/E_SOClevelLookup/"/>
    </mc:Choice>
  </mc:AlternateContent>
  <xr:revisionPtr revIDLastSave="8" documentId="13_ncr:40009_{724D5FAB-351E-477B-BBE7-007FC2055D10}" xr6:coauthVersionLast="47" xr6:coauthVersionMax="47" xr10:uidLastSave="{E63C64FF-FEE0-48E5-AAB2-9B4FFDB19079}"/>
  <bookViews>
    <workbookView xWindow="-110" yWindow="-110" windowWidth="22780" windowHeight="14660" activeTab="2" xr2:uid="{00000000-000D-0000-FFFF-FFFF00000000}"/>
  </bookViews>
  <sheets>
    <sheet name="Source" sheetId="3" r:id="rId1"/>
    <sheet name="9ad2cca1" sheetId="1" r:id="rId2"/>
    <sheet name="LevelLooku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28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" i="2"/>
  <c r="C29" i="2"/>
  <c r="C30" i="2"/>
  <c r="C31" i="2"/>
  <c r="C32" i="2"/>
  <c r="A33" i="2"/>
  <c r="C33" i="2"/>
  <c r="A34" i="2"/>
  <c r="C34" i="2"/>
  <c r="C35" i="2"/>
  <c r="A36" i="2"/>
  <c r="C36" i="2"/>
  <c r="C37" i="2"/>
  <c r="A38" i="2"/>
  <c r="C38" i="2"/>
  <c r="A39" i="2"/>
  <c r="C39" i="2"/>
  <c r="C40" i="2"/>
  <c r="A41" i="2"/>
  <c r="C41" i="2"/>
  <c r="A42" i="2"/>
  <c r="C42" i="2"/>
  <c r="A43" i="2"/>
  <c r="C43" i="2"/>
  <c r="A44" i="2"/>
  <c r="C44" i="2"/>
  <c r="C45" i="2"/>
  <c r="C46" i="2"/>
  <c r="A47" i="2"/>
  <c r="C47" i="2"/>
  <c r="C48" i="2"/>
  <c r="A49" i="2"/>
  <c r="C49" i="2"/>
  <c r="A50" i="2"/>
  <c r="C50" i="2"/>
  <c r="C51" i="2"/>
  <c r="A52" i="2"/>
  <c r="C52" i="2"/>
  <c r="C53" i="2"/>
  <c r="C28" i="2"/>
  <c r="A28" i="2"/>
  <c r="A2" i="2"/>
  <c r="A29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/>
  <c r="A18" i="2"/>
  <c r="A19" i="2" s="1"/>
  <c r="A20" i="2" s="1"/>
  <c r="A21" i="2" s="1"/>
  <c r="A22" i="2" s="1"/>
  <c r="A23" i="2" s="1"/>
  <c r="A24" i="2" s="1"/>
  <c r="A25" i="2" s="1"/>
  <c r="A26" i="2"/>
  <c r="A27" i="2" s="1"/>
  <c r="A46" i="2" l="1"/>
  <c r="A35" i="2"/>
  <c r="A3" i="2"/>
  <c r="A51" i="2"/>
  <c r="A48" i="2"/>
  <c r="A40" i="2"/>
  <c r="A53" i="2"/>
  <c r="A45" i="2"/>
  <c r="A37" i="2"/>
  <c r="A4" i="2" l="1"/>
  <c r="A30" i="2"/>
  <c r="A5" i="2" l="1"/>
  <c r="A31" i="2"/>
  <c r="A6" i="2" l="1"/>
  <c r="A32" i="2"/>
</calcChain>
</file>

<file path=xl/sharedStrings.xml><?xml version="1.0" encoding="utf-8"?>
<sst xmlns="http://schemas.openxmlformats.org/spreadsheetml/2006/main" count="67" uniqueCount="43">
  <si>
    <t>Table 1:	Skill levels and the sub-major group structure of SOC 2010 and SOC 2020</t>
  </si>
  <si>
    <t>Skill 
Level</t>
  </si>
  <si>
    <t>Sub-major groups of:</t>
  </si>
  <si>
    <t>SOC2010</t>
  </si>
  <si>
    <t>SOC2020</t>
  </si>
  <si>
    <t>Level 4</t>
  </si>
  <si>
    <t>11 Corporate managers and directors</t>
  </si>
  <si>
    <t>21 Science, research, engineering and technology professionals</t>
  </si>
  <si>
    <t>22 Health professionals</t>
  </si>
  <si>
    <t>23 Teaching and educational professionals</t>
  </si>
  <si>
    <t>23 Teaching and other educational professionals</t>
  </si>
  <si>
    <t>24 Business, media and public service professionals</t>
  </si>
  <si>
    <t>Level 3</t>
  </si>
  <si>
    <t>12 Other managers and proprietors</t>
  </si>
  <si>
    <t>31 Science, engineering and technology associate professionals</t>
  </si>
  <si>
    <t>32 Health and social care associate professionals</t>
  </si>
  <si>
    <t>33 Protective service occupations</t>
  </si>
  <si>
    <t>34 Culture, media and sports occupations</t>
  </si>
  <si>
    <t>35 Business and public service associate professionals</t>
  </si>
  <si>
    <t>51 Skilled agricultural and related trades</t>
  </si>
  <si>
    <t>52 Skilled metal, electrical and electronic trades</t>
  </si>
  <si>
    <t>53 Skilled construction and building trades</t>
  </si>
  <si>
    <t>54 Textiles, printing and other skilled trades</t>
  </si>
  <si>
    <t>Level 2</t>
  </si>
  <si>
    <t>41 Administrative occupations</t>
  </si>
  <si>
    <t>42 Secretarial and related occupations</t>
  </si>
  <si>
    <t>61 Caring personal service occupations</t>
  </si>
  <si>
    <t>62 Leisure, travel and related personal service occupations</t>
  </si>
  <si>
    <t xml:space="preserve"> </t>
  </si>
  <si>
    <t>63 Community and civil enforcement occupationsÂ¹</t>
  </si>
  <si>
    <t>71 Sales occupations</t>
  </si>
  <si>
    <t>72 Customer service occupations</t>
  </si>
  <si>
    <t>81 Process, plant and machine operatives</t>
  </si>
  <si>
    <t>82 Transport and mobile machine drivers and operatives</t>
  </si>
  <si>
    <t>Level 1</t>
  </si>
  <si>
    <t>91 Elementary trades and related occupations</t>
  </si>
  <si>
    <t>92 Elementary administration and service occupations</t>
  </si>
  <si>
    <t>Notes</t>
  </si>
  <si>
    <t>New to SOC2020</t>
  </si>
  <si>
    <t>Level</t>
  </si>
  <si>
    <t>SOC</t>
  </si>
  <si>
    <t>SOC 2020 Volume 1: structure and descriptions of unit groups - Office for National Statistics</t>
  </si>
  <si>
    <t>Soc2digit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</si>
</sst>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9" fillId="0" borderId="0" xfId="42"/>
    <xf numFmtId="0" fontId="0" fillId="33" borderId="0" xfId="0" applyFill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methodology/classificationsandstandards/standardoccupationalclassificationsoc/soc2020/soc2020volume1structureanddescriptionsofunitgrou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2" t="s">
        <v>41</v>
      </c>
    </row>
  </sheetData>
  <hyperlinks>
    <hyperlink ref="A1" r:id="rId1" display="https://www.ons.gov.uk/methodology/classificationsandstandards/standardoccupationalclassificationsoc/soc2020/soc2020volume1structureanddescriptionsofunitgroups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A6" sqref="A6"/>
    </sheetView>
  </sheetViews>
  <sheetFormatPr defaultRowHeight="14.5" x14ac:dyDescent="0.35"/>
  <sheetData>
    <row r="1" spans="1:3" x14ac:dyDescent="0.35">
      <c r="A1" t="s">
        <v>0</v>
      </c>
    </row>
    <row r="4" spans="1:3" x14ac:dyDescent="0.35">
      <c r="A4" s="1" t="s">
        <v>1</v>
      </c>
      <c r="B4" t="s">
        <v>2</v>
      </c>
    </row>
    <row r="5" spans="1:3" x14ac:dyDescent="0.35">
      <c r="B5" t="s">
        <v>3</v>
      </c>
      <c r="C5" t="s">
        <v>4</v>
      </c>
    </row>
    <row r="6" spans="1:3" x14ac:dyDescent="0.35">
      <c r="A6" t="s">
        <v>5</v>
      </c>
      <c r="B6" t="s">
        <v>6</v>
      </c>
      <c r="C6" t="s">
        <v>6</v>
      </c>
    </row>
    <row r="7" spans="1:3" x14ac:dyDescent="0.35">
      <c r="B7" t="s">
        <v>7</v>
      </c>
      <c r="C7" t="s">
        <v>7</v>
      </c>
    </row>
    <row r="8" spans="1:3" x14ac:dyDescent="0.35">
      <c r="B8" t="s">
        <v>8</v>
      </c>
      <c r="C8" t="s">
        <v>8</v>
      </c>
    </row>
    <row r="9" spans="1:3" x14ac:dyDescent="0.35">
      <c r="B9" t="s">
        <v>9</v>
      </c>
      <c r="C9" t="s">
        <v>10</v>
      </c>
    </row>
    <row r="10" spans="1:3" x14ac:dyDescent="0.35">
      <c r="B10" t="s">
        <v>11</v>
      </c>
      <c r="C10" t="s">
        <v>11</v>
      </c>
    </row>
    <row r="11" spans="1:3" x14ac:dyDescent="0.35">
      <c r="A11" t="s">
        <v>12</v>
      </c>
      <c r="B11" t="s">
        <v>13</v>
      </c>
      <c r="C11" t="s">
        <v>13</v>
      </c>
    </row>
    <row r="12" spans="1:3" x14ac:dyDescent="0.35">
      <c r="B12" t="s">
        <v>14</v>
      </c>
      <c r="C12" t="s">
        <v>14</v>
      </c>
    </row>
    <row r="13" spans="1:3" x14ac:dyDescent="0.35">
      <c r="B13" t="s">
        <v>15</v>
      </c>
      <c r="C13" t="s">
        <v>15</v>
      </c>
    </row>
    <row r="14" spans="1:3" x14ac:dyDescent="0.35">
      <c r="B14" t="s">
        <v>16</v>
      </c>
      <c r="C14" t="s">
        <v>16</v>
      </c>
    </row>
    <row r="15" spans="1:3" x14ac:dyDescent="0.35">
      <c r="B15" t="s">
        <v>17</v>
      </c>
      <c r="C15" t="s">
        <v>17</v>
      </c>
    </row>
    <row r="16" spans="1:3" x14ac:dyDescent="0.35">
      <c r="B16" t="s">
        <v>18</v>
      </c>
      <c r="C16" t="s">
        <v>18</v>
      </c>
    </row>
    <row r="17" spans="1:3" x14ac:dyDescent="0.35">
      <c r="B17" t="s">
        <v>19</v>
      </c>
      <c r="C17" t="s">
        <v>19</v>
      </c>
    </row>
    <row r="18" spans="1:3" x14ac:dyDescent="0.35">
      <c r="B18" t="s">
        <v>20</v>
      </c>
      <c r="C18" t="s">
        <v>20</v>
      </c>
    </row>
    <row r="19" spans="1:3" x14ac:dyDescent="0.35">
      <c r="B19" t="s">
        <v>21</v>
      </c>
      <c r="C19" t="s">
        <v>21</v>
      </c>
    </row>
    <row r="20" spans="1:3" x14ac:dyDescent="0.35">
      <c r="B20" t="s">
        <v>22</v>
      </c>
      <c r="C20" t="s">
        <v>22</v>
      </c>
    </row>
    <row r="21" spans="1:3" x14ac:dyDescent="0.35">
      <c r="A21" t="s">
        <v>23</v>
      </c>
      <c r="B21" t="s">
        <v>24</v>
      </c>
      <c r="C21" t="s">
        <v>24</v>
      </c>
    </row>
    <row r="22" spans="1:3" x14ac:dyDescent="0.35">
      <c r="B22" t="s">
        <v>25</v>
      </c>
      <c r="C22" t="s">
        <v>25</v>
      </c>
    </row>
    <row r="23" spans="1:3" x14ac:dyDescent="0.35">
      <c r="B23" t="s">
        <v>26</v>
      </c>
      <c r="C23" t="s">
        <v>26</v>
      </c>
    </row>
    <row r="24" spans="1:3" x14ac:dyDescent="0.35">
      <c r="B24" t="s">
        <v>27</v>
      </c>
      <c r="C24" t="s">
        <v>27</v>
      </c>
    </row>
    <row r="25" spans="1:3" x14ac:dyDescent="0.35">
      <c r="B25" t="s">
        <v>28</v>
      </c>
      <c r="C25" t="s">
        <v>29</v>
      </c>
    </row>
    <row r="26" spans="1:3" x14ac:dyDescent="0.35">
      <c r="B26" t="s">
        <v>30</v>
      </c>
      <c r="C26" t="s">
        <v>30</v>
      </c>
    </row>
    <row r="27" spans="1:3" x14ac:dyDescent="0.35">
      <c r="B27" t="s">
        <v>31</v>
      </c>
      <c r="C27" t="s">
        <v>31</v>
      </c>
    </row>
    <row r="28" spans="1:3" x14ac:dyDescent="0.35">
      <c r="B28" t="s">
        <v>32</v>
      </c>
      <c r="C28" t="s">
        <v>32</v>
      </c>
    </row>
    <row r="29" spans="1:3" x14ac:dyDescent="0.35">
      <c r="B29" t="s">
        <v>33</v>
      </c>
      <c r="C29" t="s">
        <v>33</v>
      </c>
    </row>
    <row r="30" spans="1:3" x14ac:dyDescent="0.35">
      <c r="A30" t="s">
        <v>34</v>
      </c>
      <c r="B30" t="s">
        <v>35</v>
      </c>
      <c r="C30" t="s">
        <v>35</v>
      </c>
    </row>
    <row r="31" spans="1:3" x14ac:dyDescent="0.35">
      <c r="B31" t="s">
        <v>36</v>
      </c>
      <c r="C31" t="s">
        <v>36</v>
      </c>
    </row>
    <row r="33" spans="1:2" x14ac:dyDescent="0.35">
      <c r="A33" t="s">
        <v>37</v>
      </c>
    </row>
    <row r="34" spans="1:2" x14ac:dyDescent="0.35">
      <c r="A34">
        <v>1</v>
      </c>
      <c r="B34" t="s">
        <v>38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3"/>
  <sheetViews>
    <sheetView tabSelected="1" topLeftCell="B1" workbookViewId="0">
      <selection activeCell="E30" sqref="E30"/>
    </sheetView>
  </sheetViews>
  <sheetFormatPr defaultRowHeight="14.5" x14ac:dyDescent="0.35"/>
  <sheetData>
    <row r="1" spans="1:3" x14ac:dyDescent="0.35">
      <c r="A1" t="s">
        <v>39</v>
      </c>
      <c r="B1" t="s">
        <v>42</v>
      </c>
      <c r="C1" t="s">
        <v>40</v>
      </c>
    </row>
    <row r="2" spans="1:3" x14ac:dyDescent="0.35">
      <c r="A2" s="3" t="str">
        <f>IF('9ad2cca1'!A6="",A1,'9ad2cca1'!A6)</f>
        <v>Level 4</v>
      </c>
      <c r="B2" s="3" t="str">
        <f>LEFT('9ad2cca1'!B6,2)</f>
        <v>11</v>
      </c>
      <c r="C2" s="3" t="str">
        <f>'9ad2cca1'!$B$5</f>
        <v>SOC2010</v>
      </c>
    </row>
    <row r="3" spans="1:3" x14ac:dyDescent="0.35">
      <c r="A3" s="3" t="str">
        <f>IF('9ad2cca1'!A7="",A2,'9ad2cca1'!A7)</f>
        <v>Level 4</v>
      </c>
      <c r="B3" s="3" t="str">
        <f>LEFT('9ad2cca1'!B7,2)</f>
        <v>21</v>
      </c>
      <c r="C3" s="3" t="str">
        <f>'9ad2cca1'!$B$5</f>
        <v>SOC2010</v>
      </c>
    </row>
    <row r="4" spans="1:3" x14ac:dyDescent="0.35">
      <c r="A4" s="3" t="str">
        <f>IF('9ad2cca1'!A8="",A3,'9ad2cca1'!A8)</f>
        <v>Level 4</v>
      </c>
      <c r="B4" s="3" t="str">
        <f>LEFT('9ad2cca1'!B8,2)</f>
        <v>22</v>
      </c>
      <c r="C4" s="3" t="str">
        <f>'9ad2cca1'!$B$5</f>
        <v>SOC2010</v>
      </c>
    </row>
    <row r="5" spans="1:3" x14ac:dyDescent="0.35">
      <c r="A5" s="3" t="str">
        <f>IF('9ad2cca1'!A9="",A4,'9ad2cca1'!A9)</f>
        <v>Level 4</v>
      </c>
      <c r="B5" s="3" t="str">
        <f>LEFT('9ad2cca1'!B9,2)</f>
        <v>23</v>
      </c>
      <c r="C5" s="3" t="str">
        <f>'9ad2cca1'!$B$5</f>
        <v>SOC2010</v>
      </c>
    </row>
    <row r="6" spans="1:3" x14ac:dyDescent="0.35">
      <c r="A6" s="3" t="str">
        <f>IF('9ad2cca1'!A10="",A5,'9ad2cca1'!A10)</f>
        <v>Level 4</v>
      </c>
      <c r="B6" s="3" t="str">
        <f>LEFT('9ad2cca1'!B10,2)</f>
        <v>24</v>
      </c>
      <c r="C6" s="3" t="str">
        <f>'9ad2cca1'!$B$5</f>
        <v>SOC2010</v>
      </c>
    </row>
    <row r="7" spans="1:3" x14ac:dyDescent="0.35">
      <c r="A7" s="3" t="str">
        <f>IF('9ad2cca1'!A11="",A6,'9ad2cca1'!A11)</f>
        <v>Level 3</v>
      </c>
      <c r="B7" s="3" t="str">
        <f>LEFT('9ad2cca1'!B11,2)</f>
        <v>12</v>
      </c>
      <c r="C7" s="3" t="str">
        <f>'9ad2cca1'!$B$5</f>
        <v>SOC2010</v>
      </c>
    </row>
    <row r="8" spans="1:3" x14ac:dyDescent="0.35">
      <c r="A8" s="3" t="str">
        <f>IF('9ad2cca1'!A12="",A7,'9ad2cca1'!A12)</f>
        <v>Level 3</v>
      </c>
      <c r="B8" s="3" t="str">
        <f>LEFT('9ad2cca1'!B12,2)</f>
        <v>31</v>
      </c>
      <c r="C8" s="3" t="str">
        <f>'9ad2cca1'!$B$5</f>
        <v>SOC2010</v>
      </c>
    </row>
    <row r="9" spans="1:3" x14ac:dyDescent="0.35">
      <c r="A9" s="3" t="str">
        <f>IF('9ad2cca1'!A13="",A8,'9ad2cca1'!A13)</f>
        <v>Level 3</v>
      </c>
      <c r="B9" s="3" t="str">
        <f>LEFT('9ad2cca1'!B13,2)</f>
        <v>32</v>
      </c>
      <c r="C9" s="3" t="str">
        <f>'9ad2cca1'!$B$5</f>
        <v>SOC2010</v>
      </c>
    </row>
    <row r="10" spans="1:3" x14ac:dyDescent="0.35">
      <c r="A10" s="3" t="str">
        <f>IF('9ad2cca1'!A14="",A9,'9ad2cca1'!A14)</f>
        <v>Level 3</v>
      </c>
      <c r="B10" s="3" t="str">
        <f>LEFT('9ad2cca1'!B14,2)</f>
        <v>33</v>
      </c>
      <c r="C10" s="3" t="str">
        <f>'9ad2cca1'!$B$5</f>
        <v>SOC2010</v>
      </c>
    </row>
    <row r="11" spans="1:3" x14ac:dyDescent="0.35">
      <c r="A11" s="3" t="str">
        <f>IF('9ad2cca1'!A15="",A10,'9ad2cca1'!A15)</f>
        <v>Level 3</v>
      </c>
      <c r="B11" s="3" t="str">
        <f>LEFT('9ad2cca1'!B15,2)</f>
        <v>34</v>
      </c>
      <c r="C11" s="3" t="str">
        <f>'9ad2cca1'!$B$5</f>
        <v>SOC2010</v>
      </c>
    </row>
    <row r="12" spans="1:3" x14ac:dyDescent="0.35">
      <c r="A12" s="3" t="str">
        <f>IF('9ad2cca1'!A16="",A11,'9ad2cca1'!A16)</f>
        <v>Level 3</v>
      </c>
      <c r="B12" s="3" t="str">
        <f>LEFT('9ad2cca1'!B16,2)</f>
        <v>35</v>
      </c>
      <c r="C12" s="3" t="str">
        <f>'9ad2cca1'!$B$5</f>
        <v>SOC2010</v>
      </c>
    </row>
    <row r="13" spans="1:3" x14ac:dyDescent="0.35">
      <c r="A13" s="3" t="str">
        <f>IF('9ad2cca1'!A17="",A12,'9ad2cca1'!A17)</f>
        <v>Level 3</v>
      </c>
      <c r="B13" s="3" t="str">
        <f>LEFT('9ad2cca1'!B17,2)</f>
        <v>51</v>
      </c>
      <c r="C13" s="3" t="str">
        <f>'9ad2cca1'!$B$5</f>
        <v>SOC2010</v>
      </c>
    </row>
    <row r="14" spans="1:3" x14ac:dyDescent="0.35">
      <c r="A14" s="3" t="str">
        <f>IF('9ad2cca1'!A18="",A13,'9ad2cca1'!A18)</f>
        <v>Level 3</v>
      </c>
      <c r="B14" s="3" t="str">
        <f>LEFT('9ad2cca1'!B18,2)</f>
        <v>52</v>
      </c>
      <c r="C14" s="3" t="str">
        <f>'9ad2cca1'!$B$5</f>
        <v>SOC2010</v>
      </c>
    </row>
    <row r="15" spans="1:3" x14ac:dyDescent="0.35">
      <c r="A15" s="3" t="str">
        <f>IF('9ad2cca1'!A19="",A14,'9ad2cca1'!A19)</f>
        <v>Level 3</v>
      </c>
      <c r="B15" s="3" t="str">
        <f>LEFT('9ad2cca1'!B19,2)</f>
        <v>53</v>
      </c>
      <c r="C15" s="3" t="str">
        <f>'9ad2cca1'!$B$5</f>
        <v>SOC2010</v>
      </c>
    </row>
    <row r="16" spans="1:3" x14ac:dyDescent="0.35">
      <c r="A16" s="3" t="str">
        <f>IF('9ad2cca1'!A20="",A15,'9ad2cca1'!A20)</f>
        <v>Level 3</v>
      </c>
      <c r="B16" s="3" t="str">
        <f>LEFT('9ad2cca1'!B20,2)</f>
        <v>54</v>
      </c>
      <c r="C16" s="3" t="str">
        <f>'9ad2cca1'!$B$5</f>
        <v>SOC2010</v>
      </c>
    </row>
    <row r="17" spans="1:3" x14ac:dyDescent="0.35">
      <c r="A17" s="3" t="str">
        <f>IF('9ad2cca1'!A21="",A16,'9ad2cca1'!A21)</f>
        <v>Level 2</v>
      </c>
      <c r="B17" s="3" t="str">
        <f>LEFT('9ad2cca1'!B21,2)</f>
        <v>41</v>
      </c>
      <c r="C17" s="3" t="str">
        <f>'9ad2cca1'!$B$5</f>
        <v>SOC2010</v>
      </c>
    </row>
    <row r="18" spans="1:3" x14ac:dyDescent="0.35">
      <c r="A18" s="3" t="str">
        <f>IF('9ad2cca1'!A22="",A17,'9ad2cca1'!A22)</f>
        <v>Level 2</v>
      </c>
      <c r="B18" s="3" t="str">
        <f>LEFT('9ad2cca1'!B22,2)</f>
        <v>42</v>
      </c>
      <c r="C18" s="3" t="str">
        <f>'9ad2cca1'!$B$5</f>
        <v>SOC2010</v>
      </c>
    </row>
    <row r="19" spans="1:3" x14ac:dyDescent="0.35">
      <c r="A19" s="3" t="str">
        <f>IF('9ad2cca1'!A23="",A18,'9ad2cca1'!A23)</f>
        <v>Level 2</v>
      </c>
      <c r="B19" s="3" t="str">
        <f>LEFT('9ad2cca1'!B23,2)</f>
        <v>61</v>
      </c>
      <c r="C19" s="3" t="str">
        <f>'9ad2cca1'!$B$5</f>
        <v>SOC2010</v>
      </c>
    </row>
    <row r="20" spans="1:3" x14ac:dyDescent="0.35">
      <c r="A20" s="3" t="str">
        <f>IF('9ad2cca1'!A24="",A19,'9ad2cca1'!A24)</f>
        <v>Level 2</v>
      </c>
      <c r="B20" s="3" t="str">
        <f>LEFT('9ad2cca1'!B24,2)</f>
        <v>62</v>
      </c>
      <c r="C20" s="3" t="str">
        <f>'9ad2cca1'!$B$5</f>
        <v>SOC2010</v>
      </c>
    </row>
    <row r="21" spans="1:3" x14ac:dyDescent="0.35">
      <c r="A21" s="3" t="str">
        <f>IF('9ad2cca1'!A25="",A20,'9ad2cca1'!A25)</f>
        <v>Level 2</v>
      </c>
      <c r="B21" s="3" t="str">
        <f>LEFT('9ad2cca1'!B25,2)</f>
        <v xml:space="preserve"> </v>
      </c>
      <c r="C21" s="3" t="str">
        <f>'9ad2cca1'!$B$5</f>
        <v>SOC2010</v>
      </c>
    </row>
    <row r="22" spans="1:3" x14ac:dyDescent="0.35">
      <c r="A22" s="3" t="str">
        <f>IF('9ad2cca1'!A26="",A21,'9ad2cca1'!A26)</f>
        <v>Level 2</v>
      </c>
      <c r="B22" s="3" t="str">
        <f>LEFT('9ad2cca1'!B26,2)</f>
        <v>71</v>
      </c>
      <c r="C22" s="3" t="str">
        <f>'9ad2cca1'!$B$5</f>
        <v>SOC2010</v>
      </c>
    </row>
    <row r="23" spans="1:3" x14ac:dyDescent="0.35">
      <c r="A23" s="3" t="str">
        <f>IF('9ad2cca1'!A27="",A22,'9ad2cca1'!A27)</f>
        <v>Level 2</v>
      </c>
      <c r="B23" s="3" t="str">
        <f>LEFT('9ad2cca1'!B27,2)</f>
        <v>72</v>
      </c>
      <c r="C23" s="3" t="str">
        <f>'9ad2cca1'!$B$5</f>
        <v>SOC2010</v>
      </c>
    </row>
    <row r="24" spans="1:3" x14ac:dyDescent="0.35">
      <c r="A24" s="3" t="str">
        <f>IF('9ad2cca1'!A28="",A23,'9ad2cca1'!A28)</f>
        <v>Level 2</v>
      </c>
      <c r="B24" s="3" t="str">
        <f>LEFT('9ad2cca1'!B28,2)</f>
        <v>81</v>
      </c>
      <c r="C24" s="3" t="str">
        <f>'9ad2cca1'!$B$5</f>
        <v>SOC2010</v>
      </c>
    </row>
    <row r="25" spans="1:3" x14ac:dyDescent="0.35">
      <c r="A25" s="3" t="str">
        <f>IF('9ad2cca1'!A29="",A24,'9ad2cca1'!A29)</f>
        <v>Level 2</v>
      </c>
      <c r="B25" s="3" t="str">
        <f>LEFT('9ad2cca1'!B29,2)</f>
        <v>82</v>
      </c>
      <c r="C25" s="3" t="str">
        <f>'9ad2cca1'!$B$5</f>
        <v>SOC2010</v>
      </c>
    </row>
    <row r="26" spans="1:3" x14ac:dyDescent="0.35">
      <c r="A26" s="3" t="str">
        <f>IF('9ad2cca1'!A30="",A25,'9ad2cca1'!A30)</f>
        <v>Level 1</v>
      </c>
      <c r="B26" s="3" t="str">
        <f>LEFT('9ad2cca1'!B30,2)</f>
        <v>91</v>
      </c>
      <c r="C26" s="3" t="str">
        <f>'9ad2cca1'!$B$5</f>
        <v>SOC2010</v>
      </c>
    </row>
    <row r="27" spans="1:3" x14ac:dyDescent="0.35">
      <c r="A27" s="3" t="str">
        <f>IF('9ad2cca1'!A31="",A26,'9ad2cca1'!A31)</f>
        <v>Level 1</v>
      </c>
      <c r="B27" s="3" t="str">
        <f>LEFT('9ad2cca1'!B31,2)</f>
        <v>92</v>
      </c>
      <c r="C27" s="3" t="str">
        <f>'9ad2cca1'!$B$5</f>
        <v>SOC2010</v>
      </c>
    </row>
    <row r="28" spans="1:3" x14ac:dyDescent="0.35">
      <c r="A28" s="4" t="str">
        <f>IF('9ad2cca1'!A6="",A1,'9ad2cca1'!A6)</f>
        <v>Level 4</v>
      </c>
      <c r="B28" s="4" t="str">
        <f>LEFT('9ad2cca1'!C6,2)</f>
        <v>11</v>
      </c>
      <c r="C28" s="4" t="str">
        <f>'9ad2cca1'!$C$5</f>
        <v>SOC2020</v>
      </c>
    </row>
    <row r="29" spans="1:3" x14ac:dyDescent="0.35">
      <c r="A29" s="4" t="str">
        <f>IF('9ad2cca1'!A7="",A2,'9ad2cca1'!A7)</f>
        <v>Level 4</v>
      </c>
      <c r="B29" s="4" t="str">
        <f>LEFT('9ad2cca1'!C7,2)</f>
        <v>21</v>
      </c>
      <c r="C29" s="4" t="str">
        <f>'9ad2cca1'!$C$5</f>
        <v>SOC2020</v>
      </c>
    </row>
    <row r="30" spans="1:3" x14ac:dyDescent="0.35">
      <c r="A30" s="4" t="str">
        <f>IF('9ad2cca1'!A8="",A3,'9ad2cca1'!A8)</f>
        <v>Level 4</v>
      </c>
      <c r="B30" s="4" t="str">
        <f>LEFT('9ad2cca1'!C8,2)</f>
        <v>22</v>
      </c>
      <c r="C30" s="4" t="str">
        <f>'9ad2cca1'!$C$5</f>
        <v>SOC2020</v>
      </c>
    </row>
    <row r="31" spans="1:3" x14ac:dyDescent="0.35">
      <c r="A31" s="4" t="str">
        <f>IF('9ad2cca1'!A9="",A4,'9ad2cca1'!A9)</f>
        <v>Level 4</v>
      </c>
      <c r="B31" s="4" t="str">
        <f>LEFT('9ad2cca1'!C9,2)</f>
        <v>23</v>
      </c>
      <c r="C31" s="4" t="str">
        <f>'9ad2cca1'!$C$5</f>
        <v>SOC2020</v>
      </c>
    </row>
    <row r="32" spans="1:3" x14ac:dyDescent="0.35">
      <c r="A32" s="4" t="str">
        <f>IF('9ad2cca1'!A10="",A5,'9ad2cca1'!A10)</f>
        <v>Level 4</v>
      </c>
      <c r="B32" s="4" t="str">
        <f>LEFT('9ad2cca1'!C10,2)</f>
        <v>24</v>
      </c>
      <c r="C32" s="4" t="str">
        <f>'9ad2cca1'!$C$5</f>
        <v>SOC2020</v>
      </c>
    </row>
    <row r="33" spans="1:3" x14ac:dyDescent="0.35">
      <c r="A33" s="4" t="str">
        <f>IF('9ad2cca1'!A11="",A6,'9ad2cca1'!A11)</f>
        <v>Level 3</v>
      </c>
      <c r="B33" s="4" t="str">
        <f>LEFT('9ad2cca1'!C11,2)</f>
        <v>12</v>
      </c>
      <c r="C33" s="4" t="str">
        <f>'9ad2cca1'!$C$5</f>
        <v>SOC2020</v>
      </c>
    </row>
    <row r="34" spans="1:3" x14ac:dyDescent="0.35">
      <c r="A34" s="4" t="str">
        <f>IF('9ad2cca1'!A12="",A7,'9ad2cca1'!A12)</f>
        <v>Level 3</v>
      </c>
      <c r="B34" s="4" t="str">
        <f>LEFT('9ad2cca1'!C12,2)</f>
        <v>31</v>
      </c>
      <c r="C34" s="4" t="str">
        <f>'9ad2cca1'!$C$5</f>
        <v>SOC2020</v>
      </c>
    </row>
    <row r="35" spans="1:3" x14ac:dyDescent="0.35">
      <c r="A35" s="4" t="str">
        <f>IF('9ad2cca1'!A13="",A8,'9ad2cca1'!A13)</f>
        <v>Level 3</v>
      </c>
      <c r="B35" s="4" t="str">
        <f>LEFT('9ad2cca1'!C13,2)</f>
        <v>32</v>
      </c>
      <c r="C35" s="4" t="str">
        <f>'9ad2cca1'!$C$5</f>
        <v>SOC2020</v>
      </c>
    </row>
    <row r="36" spans="1:3" x14ac:dyDescent="0.35">
      <c r="A36" s="4" t="str">
        <f>IF('9ad2cca1'!A14="",A9,'9ad2cca1'!A14)</f>
        <v>Level 3</v>
      </c>
      <c r="B36" s="4" t="str">
        <f>LEFT('9ad2cca1'!C14,2)</f>
        <v>33</v>
      </c>
      <c r="C36" s="4" t="str">
        <f>'9ad2cca1'!$C$5</f>
        <v>SOC2020</v>
      </c>
    </row>
    <row r="37" spans="1:3" x14ac:dyDescent="0.35">
      <c r="A37" s="4" t="str">
        <f>IF('9ad2cca1'!A15="",A10,'9ad2cca1'!A15)</f>
        <v>Level 3</v>
      </c>
      <c r="B37" s="4" t="str">
        <f>LEFT('9ad2cca1'!C15,2)</f>
        <v>34</v>
      </c>
      <c r="C37" s="4" t="str">
        <f>'9ad2cca1'!$C$5</f>
        <v>SOC2020</v>
      </c>
    </row>
    <row r="38" spans="1:3" x14ac:dyDescent="0.35">
      <c r="A38" s="4" t="str">
        <f>IF('9ad2cca1'!A16="",A11,'9ad2cca1'!A16)</f>
        <v>Level 3</v>
      </c>
      <c r="B38" s="4" t="str">
        <f>LEFT('9ad2cca1'!C16,2)</f>
        <v>35</v>
      </c>
      <c r="C38" s="4" t="str">
        <f>'9ad2cca1'!$C$5</f>
        <v>SOC2020</v>
      </c>
    </row>
    <row r="39" spans="1:3" x14ac:dyDescent="0.35">
      <c r="A39" s="4" t="str">
        <f>IF('9ad2cca1'!A17="",A12,'9ad2cca1'!A17)</f>
        <v>Level 3</v>
      </c>
      <c r="B39" s="4" t="str">
        <f>LEFT('9ad2cca1'!C17,2)</f>
        <v>51</v>
      </c>
      <c r="C39" s="4" t="str">
        <f>'9ad2cca1'!$C$5</f>
        <v>SOC2020</v>
      </c>
    </row>
    <row r="40" spans="1:3" x14ac:dyDescent="0.35">
      <c r="A40" s="4" t="str">
        <f>IF('9ad2cca1'!A18="",A13,'9ad2cca1'!A18)</f>
        <v>Level 3</v>
      </c>
      <c r="B40" s="4" t="str">
        <f>LEFT('9ad2cca1'!C18,2)</f>
        <v>52</v>
      </c>
      <c r="C40" s="4" t="str">
        <f>'9ad2cca1'!$C$5</f>
        <v>SOC2020</v>
      </c>
    </row>
    <row r="41" spans="1:3" x14ac:dyDescent="0.35">
      <c r="A41" s="4" t="str">
        <f>IF('9ad2cca1'!A19="",A14,'9ad2cca1'!A19)</f>
        <v>Level 3</v>
      </c>
      <c r="B41" s="4" t="str">
        <f>LEFT('9ad2cca1'!C19,2)</f>
        <v>53</v>
      </c>
      <c r="C41" s="4" t="str">
        <f>'9ad2cca1'!$C$5</f>
        <v>SOC2020</v>
      </c>
    </row>
    <row r="42" spans="1:3" x14ac:dyDescent="0.35">
      <c r="A42" s="4" t="str">
        <f>IF('9ad2cca1'!A20="",A15,'9ad2cca1'!A20)</f>
        <v>Level 3</v>
      </c>
      <c r="B42" s="4" t="str">
        <f>LEFT('9ad2cca1'!C20,2)</f>
        <v>54</v>
      </c>
      <c r="C42" s="4" t="str">
        <f>'9ad2cca1'!$C$5</f>
        <v>SOC2020</v>
      </c>
    </row>
    <row r="43" spans="1:3" x14ac:dyDescent="0.35">
      <c r="A43" s="4" t="str">
        <f>IF('9ad2cca1'!A21="",A16,'9ad2cca1'!A21)</f>
        <v>Level 2</v>
      </c>
      <c r="B43" s="4" t="str">
        <f>LEFT('9ad2cca1'!C21,2)</f>
        <v>41</v>
      </c>
      <c r="C43" s="4" t="str">
        <f>'9ad2cca1'!$C$5</f>
        <v>SOC2020</v>
      </c>
    </row>
    <row r="44" spans="1:3" x14ac:dyDescent="0.35">
      <c r="A44" s="4" t="str">
        <f>IF('9ad2cca1'!A22="",A17,'9ad2cca1'!A22)</f>
        <v>Level 2</v>
      </c>
      <c r="B44" s="4" t="str">
        <f>LEFT('9ad2cca1'!C22,2)</f>
        <v>42</v>
      </c>
      <c r="C44" s="4" t="str">
        <f>'9ad2cca1'!$C$5</f>
        <v>SOC2020</v>
      </c>
    </row>
    <row r="45" spans="1:3" x14ac:dyDescent="0.35">
      <c r="A45" s="4" t="str">
        <f>IF('9ad2cca1'!A23="",A18,'9ad2cca1'!A23)</f>
        <v>Level 2</v>
      </c>
      <c r="B45" s="4" t="str">
        <f>LEFT('9ad2cca1'!C23,2)</f>
        <v>61</v>
      </c>
      <c r="C45" s="4" t="str">
        <f>'9ad2cca1'!$C$5</f>
        <v>SOC2020</v>
      </c>
    </row>
    <row r="46" spans="1:3" x14ac:dyDescent="0.35">
      <c r="A46" s="4" t="str">
        <f>IF('9ad2cca1'!A24="",A19,'9ad2cca1'!A24)</f>
        <v>Level 2</v>
      </c>
      <c r="B46" s="4" t="str">
        <f>LEFT('9ad2cca1'!C24,2)</f>
        <v>62</v>
      </c>
      <c r="C46" s="4" t="str">
        <f>'9ad2cca1'!$C$5</f>
        <v>SOC2020</v>
      </c>
    </row>
    <row r="47" spans="1:3" x14ac:dyDescent="0.35">
      <c r="A47" s="4" t="str">
        <f>IF('9ad2cca1'!A25="",A20,'9ad2cca1'!A25)</f>
        <v>Level 2</v>
      </c>
      <c r="B47" s="4" t="str">
        <f>LEFT('9ad2cca1'!C25,2)</f>
        <v>63</v>
      </c>
      <c r="C47" s="4" t="str">
        <f>'9ad2cca1'!$C$5</f>
        <v>SOC2020</v>
      </c>
    </row>
    <row r="48" spans="1:3" x14ac:dyDescent="0.35">
      <c r="A48" s="4" t="str">
        <f>IF('9ad2cca1'!A26="",A21,'9ad2cca1'!A26)</f>
        <v>Level 2</v>
      </c>
      <c r="B48" s="4" t="str">
        <f>LEFT('9ad2cca1'!C26,2)</f>
        <v>71</v>
      </c>
      <c r="C48" s="4" t="str">
        <f>'9ad2cca1'!$C$5</f>
        <v>SOC2020</v>
      </c>
    </row>
    <row r="49" spans="1:3" x14ac:dyDescent="0.35">
      <c r="A49" s="4" t="str">
        <f>IF('9ad2cca1'!A27="",A22,'9ad2cca1'!A27)</f>
        <v>Level 2</v>
      </c>
      <c r="B49" s="4" t="str">
        <f>LEFT('9ad2cca1'!C27,2)</f>
        <v>72</v>
      </c>
      <c r="C49" s="4" t="str">
        <f>'9ad2cca1'!$C$5</f>
        <v>SOC2020</v>
      </c>
    </row>
    <row r="50" spans="1:3" x14ac:dyDescent="0.35">
      <c r="A50" s="4" t="str">
        <f>IF('9ad2cca1'!A28="",A23,'9ad2cca1'!A28)</f>
        <v>Level 2</v>
      </c>
      <c r="B50" s="4" t="str">
        <f>LEFT('9ad2cca1'!C28,2)</f>
        <v>81</v>
      </c>
      <c r="C50" s="4" t="str">
        <f>'9ad2cca1'!$C$5</f>
        <v>SOC2020</v>
      </c>
    </row>
    <row r="51" spans="1:3" x14ac:dyDescent="0.35">
      <c r="A51" s="4" t="str">
        <f>IF('9ad2cca1'!A29="",A24,'9ad2cca1'!A29)</f>
        <v>Level 2</v>
      </c>
      <c r="B51" s="4" t="str">
        <f>LEFT('9ad2cca1'!C29,2)</f>
        <v>82</v>
      </c>
      <c r="C51" s="4" t="str">
        <f>'9ad2cca1'!$C$5</f>
        <v>SOC2020</v>
      </c>
    </row>
    <row r="52" spans="1:3" x14ac:dyDescent="0.35">
      <c r="A52" s="4" t="str">
        <f>IF('9ad2cca1'!A30="",A25,'9ad2cca1'!A30)</f>
        <v>Level 1</v>
      </c>
      <c r="B52" s="4" t="str">
        <f>LEFT('9ad2cca1'!C30,2)</f>
        <v>91</v>
      </c>
      <c r="C52" s="4" t="str">
        <f>'9ad2cca1'!$C$5</f>
        <v>SOC2020</v>
      </c>
    </row>
    <row r="53" spans="1:3" x14ac:dyDescent="0.35">
      <c r="A53" s="4" t="str">
        <f>IF('9ad2cca1'!A31="",A26,'9ad2cca1'!A31)</f>
        <v>Level 1</v>
      </c>
      <c r="B53" s="4" t="str">
        <f>LEFT('9ad2cca1'!C31,2)</f>
        <v>92</v>
      </c>
      <c r="C53" s="4" t="str">
        <f>'9ad2cca1'!$C$5</f>
        <v>SOC2020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9ad2cca1</vt:lpstr>
      <vt:lpstr>LevelLookup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JAMES, Paul</dc:creator>
  <cp:lastModifiedBy>JAMES, Paul</cp:lastModifiedBy>
  <dcterms:created xsi:type="dcterms:W3CDTF">2023-08-24T13:35:42Z</dcterms:created>
  <dcterms:modified xsi:type="dcterms:W3CDTF">2023-08-24T14:07:07Z</dcterms:modified>
</cp:coreProperties>
</file>