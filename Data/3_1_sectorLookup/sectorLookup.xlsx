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james2\OneDrive - Department for Education\Documents\RProjects\jobsDataExplorer\Data\C_sectorLookup\"/>
    </mc:Choice>
  </mc:AlternateContent>
  <xr:revisionPtr revIDLastSave="0" documentId="13_ncr:1_{8154140E-0755-470A-9059-9FA2B945F2DA}" xr6:coauthVersionLast="47" xr6:coauthVersionMax="47" xr10:uidLastSave="{00000000-0000-0000-0000-000000000000}"/>
  <bookViews>
    <workbookView xWindow="-110" yWindow="-110" windowWidth="22780" windowHeight="14540" activeTab="2" xr2:uid="{00000000-000D-0000-FFFF-FFFF00000000}"/>
  </bookViews>
  <sheets>
    <sheet name="group info" sheetId="5" r:id="rId1"/>
    <sheet name="sectorLookup" sheetId="1" r:id="rId2"/>
    <sheet name="sectorDescriptions" sheetId="4" r:id="rId3"/>
    <sheet name="SOC2020_Structure" sheetId="2" r:id="rId4"/>
    <sheet name="SOC2010_Structure" sheetId="3" r:id="rId5"/>
  </sheets>
  <definedNames>
    <definedName name="_xlnm._FilterDatabase" localSheetId="0" hidden="1">'group info'!$A$1:$E$18</definedName>
    <definedName name="_xlnm._FilterDatabase" localSheetId="1" hidden="1">sectorLookup!$A$1:$G$1164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4" l="1"/>
  <c r="D1166" i="1"/>
  <c r="G1166" i="1"/>
  <c r="D1167" i="1"/>
  <c r="G1167" i="1"/>
  <c r="D1168" i="1"/>
  <c r="G1168" i="1"/>
  <c r="D1169" i="1"/>
  <c r="G1169" i="1"/>
  <c r="D1170" i="1"/>
  <c r="G1170" i="1"/>
  <c r="D1171" i="1"/>
  <c r="G1171" i="1"/>
  <c r="D1172" i="1"/>
  <c r="G1172" i="1"/>
  <c r="D1173" i="1"/>
  <c r="G1173" i="1"/>
  <c r="D1174" i="1"/>
  <c r="G1174" i="1"/>
  <c r="D1175" i="1"/>
  <c r="G1175" i="1"/>
  <c r="D1176" i="1"/>
  <c r="G1176" i="1"/>
  <c r="D1177" i="1"/>
  <c r="G1177" i="1"/>
  <c r="D1178" i="1"/>
  <c r="G1178" i="1"/>
  <c r="D1179" i="1"/>
  <c r="G1179" i="1"/>
  <c r="D1180" i="1"/>
  <c r="G1180" i="1"/>
  <c r="D1181" i="1"/>
  <c r="G1181" i="1"/>
  <c r="D1182" i="1"/>
  <c r="G1182" i="1"/>
  <c r="D1183" i="1"/>
  <c r="G1183" i="1"/>
  <c r="D1184" i="1"/>
  <c r="G1184" i="1"/>
  <c r="D1185" i="1"/>
  <c r="G1185" i="1"/>
  <c r="D1186" i="1"/>
  <c r="G1186" i="1"/>
  <c r="D1187" i="1"/>
  <c r="G1187" i="1"/>
  <c r="D1188" i="1"/>
  <c r="G1188" i="1"/>
  <c r="D1189" i="1"/>
  <c r="G1189" i="1"/>
  <c r="D1190" i="1"/>
  <c r="G1190" i="1"/>
  <c r="D1191" i="1"/>
  <c r="G1191" i="1"/>
  <c r="D1192" i="1"/>
  <c r="G1192" i="1"/>
  <c r="G1165" i="1"/>
  <c r="D1165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" i="4"/>
  <c r="G10" i="1"/>
  <c r="G18" i="1"/>
  <c r="G26" i="1"/>
  <c r="G34" i="1"/>
  <c r="G42" i="1"/>
  <c r="G50" i="1"/>
  <c r="G58" i="1"/>
  <c r="G66" i="1"/>
  <c r="G74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692" i="1"/>
  <c r="G693" i="1"/>
  <c r="G694" i="1"/>
  <c r="G708" i="1"/>
  <c r="G709" i="1"/>
  <c r="G710" i="1"/>
  <c r="G724" i="1"/>
  <c r="G725" i="1"/>
  <c r="G726" i="1"/>
  <c r="G740" i="1"/>
  <c r="G741" i="1"/>
  <c r="G742" i="1"/>
  <c r="G756" i="1"/>
  <c r="G757" i="1"/>
  <c r="G758" i="1"/>
  <c r="G772" i="1"/>
  <c r="G773" i="1"/>
  <c r="G774" i="1"/>
  <c r="G788" i="1"/>
  <c r="G789" i="1"/>
  <c r="G790" i="1"/>
  <c r="G804" i="1"/>
  <c r="G805" i="1"/>
  <c r="G806" i="1"/>
  <c r="G820" i="1"/>
  <c r="G821" i="1"/>
  <c r="G822" i="1"/>
  <c r="G836" i="1"/>
  <c r="G837" i="1"/>
  <c r="G838" i="1"/>
  <c r="G852" i="1"/>
  <c r="G853" i="1"/>
  <c r="G854" i="1"/>
  <c r="G868" i="1"/>
  <c r="G869" i="1"/>
  <c r="G870" i="1"/>
  <c r="G884" i="1"/>
  <c r="G885" i="1"/>
  <c r="G886" i="1"/>
  <c r="G900" i="1"/>
  <c r="G901" i="1"/>
  <c r="G902" i="1"/>
  <c r="G916" i="1"/>
  <c r="G917" i="1"/>
  <c r="G918" i="1"/>
  <c r="G932" i="1"/>
  <c r="G933" i="1"/>
  <c r="G934" i="1"/>
  <c r="G948" i="1"/>
  <c r="G949" i="1"/>
  <c r="G950" i="1"/>
  <c r="G964" i="1"/>
  <c r="G965" i="1"/>
  <c r="G966" i="1"/>
  <c r="G980" i="1"/>
  <c r="G981" i="1"/>
  <c r="G982" i="1"/>
  <c r="G996" i="1"/>
  <c r="G997" i="1"/>
  <c r="G998" i="1"/>
  <c r="G1012" i="1"/>
  <c r="G1013" i="1"/>
  <c r="G1014" i="1"/>
  <c r="G1027" i="1"/>
  <c r="G1028" i="1"/>
  <c r="G1029" i="1"/>
  <c r="G1038" i="1"/>
  <c r="G1039" i="1"/>
  <c r="G1051" i="1"/>
  <c r="G1052" i="1"/>
  <c r="G1060" i="1"/>
  <c r="G1061" i="1"/>
  <c r="G1062" i="1"/>
  <c r="G1070" i="1"/>
  <c r="G1071" i="1"/>
  <c r="G1083" i="1"/>
  <c r="G1084" i="1"/>
  <c r="G1092" i="1"/>
  <c r="G1093" i="1"/>
  <c r="G1094" i="1"/>
  <c r="G1102" i="1"/>
  <c r="G1103" i="1"/>
  <c r="G1115" i="1"/>
  <c r="G1116" i="1"/>
  <c r="G1124" i="1"/>
  <c r="G1125" i="1"/>
  <c r="G1126" i="1"/>
  <c r="G1134" i="1"/>
  <c r="G1135" i="1"/>
  <c r="G1147" i="1"/>
  <c r="G1148" i="1"/>
  <c r="G1156" i="1"/>
  <c r="G1157" i="1"/>
  <c r="G1158" i="1"/>
  <c r="D3" i="1"/>
  <c r="G3" i="1" s="1"/>
  <c r="D4" i="1"/>
  <c r="G4" i="1" s="1"/>
  <c r="D5" i="1"/>
  <c r="G5" i="1" s="1"/>
  <c r="D6" i="1"/>
  <c r="G6" i="1" s="1"/>
  <c r="D7" i="1"/>
  <c r="G7" i="1" s="1"/>
  <c r="D8" i="1"/>
  <c r="G8" i="1" s="1"/>
  <c r="D9" i="1"/>
  <c r="G9" i="1" s="1"/>
  <c r="D10" i="1"/>
  <c r="D11" i="1"/>
  <c r="G11" i="1" s="1"/>
  <c r="D12" i="1"/>
  <c r="G12" i="1" s="1"/>
  <c r="D13" i="1"/>
  <c r="G13" i="1" s="1"/>
  <c r="D14" i="1"/>
  <c r="G14" i="1" s="1"/>
  <c r="D15" i="1"/>
  <c r="G15" i="1" s="1"/>
  <c r="D16" i="1"/>
  <c r="G16" i="1" s="1"/>
  <c r="D17" i="1"/>
  <c r="G17" i="1" s="1"/>
  <c r="D18" i="1"/>
  <c r="D19" i="1"/>
  <c r="G19" i="1" s="1"/>
  <c r="D20" i="1"/>
  <c r="G20" i="1" s="1"/>
  <c r="D21" i="1"/>
  <c r="G21" i="1" s="1"/>
  <c r="D22" i="1"/>
  <c r="G22" i="1" s="1"/>
  <c r="D23" i="1"/>
  <c r="G23" i="1" s="1"/>
  <c r="D24" i="1"/>
  <c r="G24" i="1" s="1"/>
  <c r="D25" i="1"/>
  <c r="G25" i="1" s="1"/>
  <c r="D26" i="1"/>
  <c r="D27" i="1"/>
  <c r="G27" i="1" s="1"/>
  <c r="D28" i="1"/>
  <c r="G28" i="1" s="1"/>
  <c r="D29" i="1"/>
  <c r="G29" i="1" s="1"/>
  <c r="D30" i="1"/>
  <c r="G30" i="1" s="1"/>
  <c r="D31" i="1"/>
  <c r="G31" i="1" s="1"/>
  <c r="D32" i="1"/>
  <c r="G32" i="1" s="1"/>
  <c r="D33" i="1"/>
  <c r="G33" i="1" s="1"/>
  <c r="D34" i="1"/>
  <c r="D35" i="1"/>
  <c r="G35" i="1" s="1"/>
  <c r="D36" i="1"/>
  <c r="G36" i="1" s="1"/>
  <c r="D37" i="1"/>
  <c r="G37" i="1" s="1"/>
  <c r="D38" i="1"/>
  <c r="G38" i="1" s="1"/>
  <c r="D39" i="1"/>
  <c r="G39" i="1" s="1"/>
  <c r="D40" i="1"/>
  <c r="G40" i="1" s="1"/>
  <c r="D41" i="1"/>
  <c r="G41" i="1" s="1"/>
  <c r="D42" i="1"/>
  <c r="D43" i="1"/>
  <c r="G43" i="1" s="1"/>
  <c r="D44" i="1"/>
  <c r="G44" i="1" s="1"/>
  <c r="D45" i="1"/>
  <c r="G45" i="1" s="1"/>
  <c r="D46" i="1"/>
  <c r="G46" i="1" s="1"/>
  <c r="D47" i="1"/>
  <c r="G47" i="1" s="1"/>
  <c r="D48" i="1"/>
  <c r="G48" i="1" s="1"/>
  <c r="D49" i="1"/>
  <c r="G49" i="1" s="1"/>
  <c r="D50" i="1"/>
  <c r="D51" i="1"/>
  <c r="G51" i="1" s="1"/>
  <c r="D52" i="1"/>
  <c r="G52" i="1" s="1"/>
  <c r="D53" i="1"/>
  <c r="G53" i="1" s="1"/>
  <c r="D54" i="1"/>
  <c r="G54" i="1" s="1"/>
  <c r="D55" i="1"/>
  <c r="G55" i="1" s="1"/>
  <c r="D56" i="1"/>
  <c r="G56" i="1" s="1"/>
  <c r="D57" i="1"/>
  <c r="G57" i="1" s="1"/>
  <c r="D58" i="1"/>
  <c r="D59" i="1"/>
  <c r="G59" i="1" s="1"/>
  <c r="D60" i="1"/>
  <c r="G60" i="1" s="1"/>
  <c r="D61" i="1"/>
  <c r="G61" i="1" s="1"/>
  <c r="D62" i="1"/>
  <c r="G62" i="1" s="1"/>
  <c r="D63" i="1"/>
  <c r="G63" i="1" s="1"/>
  <c r="D64" i="1"/>
  <c r="G64" i="1" s="1"/>
  <c r="D65" i="1"/>
  <c r="G65" i="1" s="1"/>
  <c r="D66" i="1"/>
  <c r="D67" i="1"/>
  <c r="G67" i="1" s="1"/>
  <c r="D68" i="1"/>
  <c r="G68" i="1" s="1"/>
  <c r="D69" i="1"/>
  <c r="G69" i="1" s="1"/>
  <c r="D70" i="1"/>
  <c r="G70" i="1" s="1"/>
  <c r="D71" i="1"/>
  <c r="G71" i="1" s="1"/>
  <c r="D72" i="1"/>
  <c r="G72" i="1" s="1"/>
  <c r="D73" i="1"/>
  <c r="G73" i="1" s="1"/>
  <c r="D74" i="1"/>
  <c r="D75" i="1"/>
  <c r="G75" i="1" s="1"/>
  <c r="D76" i="1"/>
  <c r="G76" i="1" s="1"/>
  <c r="D77" i="1"/>
  <c r="G77" i="1" s="1"/>
  <c r="D78" i="1"/>
  <c r="G78" i="1" s="1"/>
  <c r="D79" i="1"/>
  <c r="G79" i="1" s="1"/>
  <c r="D80" i="1"/>
  <c r="G80" i="1" s="1"/>
  <c r="D81" i="1"/>
  <c r="G81" i="1" s="1"/>
  <c r="D82" i="1"/>
  <c r="D83" i="1"/>
  <c r="G83" i="1" s="1"/>
  <c r="D84" i="1"/>
  <c r="G84" i="1" s="1"/>
  <c r="D85" i="1"/>
  <c r="G85" i="1" s="1"/>
  <c r="D86" i="1"/>
  <c r="G86" i="1" s="1"/>
  <c r="D87" i="1"/>
  <c r="G87" i="1" s="1"/>
  <c r="D88" i="1"/>
  <c r="G88" i="1" s="1"/>
  <c r="D89" i="1"/>
  <c r="G89" i="1" s="1"/>
  <c r="D90" i="1"/>
  <c r="D91" i="1"/>
  <c r="G91" i="1" s="1"/>
  <c r="D92" i="1"/>
  <c r="G92" i="1" s="1"/>
  <c r="D93" i="1"/>
  <c r="G93" i="1" s="1"/>
  <c r="D94" i="1"/>
  <c r="G94" i="1" s="1"/>
  <c r="D95" i="1"/>
  <c r="G95" i="1" s="1"/>
  <c r="D96" i="1"/>
  <c r="G96" i="1" s="1"/>
  <c r="D97" i="1"/>
  <c r="G97" i="1" s="1"/>
  <c r="D98" i="1"/>
  <c r="D99" i="1"/>
  <c r="G99" i="1" s="1"/>
  <c r="D100" i="1"/>
  <c r="G100" i="1" s="1"/>
  <c r="D101" i="1"/>
  <c r="G101" i="1" s="1"/>
  <c r="D102" i="1"/>
  <c r="G102" i="1" s="1"/>
  <c r="D103" i="1"/>
  <c r="G103" i="1" s="1"/>
  <c r="D104" i="1"/>
  <c r="G104" i="1" s="1"/>
  <c r="D105" i="1"/>
  <c r="G105" i="1" s="1"/>
  <c r="D106" i="1"/>
  <c r="D107" i="1"/>
  <c r="G107" i="1" s="1"/>
  <c r="D108" i="1"/>
  <c r="G108" i="1" s="1"/>
  <c r="D109" i="1"/>
  <c r="G109" i="1" s="1"/>
  <c r="D110" i="1"/>
  <c r="G110" i="1" s="1"/>
  <c r="D111" i="1"/>
  <c r="G111" i="1" s="1"/>
  <c r="D112" i="1"/>
  <c r="G112" i="1" s="1"/>
  <c r="D113" i="1"/>
  <c r="G113" i="1" s="1"/>
  <c r="D114" i="1"/>
  <c r="D115" i="1"/>
  <c r="G115" i="1" s="1"/>
  <c r="D116" i="1"/>
  <c r="G116" i="1" s="1"/>
  <c r="D117" i="1"/>
  <c r="G117" i="1" s="1"/>
  <c r="D118" i="1"/>
  <c r="G118" i="1" s="1"/>
  <c r="D119" i="1"/>
  <c r="G119" i="1" s="1"/>
  <c r="D120" i="1"/>
  <c r="G120" i="1" s="1"/>
  <c r="D121" i="1"/>
  <c r="G121" i="1" s="1"/>
  <c r="D122" i="1"/>
  <c r="D123" i="1"/>
  <c r="G123" i="1" s="1"/>
  <c r="D124" i="1"/>
  <c r="G124" i="1" s="1"/>
  <c r="D125" i="1"/>
  <c r="G125" i="1" s="1"/>
  <c r="D126" i="1"/>
  <c r="G126" i="1" s="1"/>
  <c r="D127" i="1"/>
  <c r="G127" i="1" s="1"/>
  <c r="D128" i="1"/>
  <c r="G128" i="1" s="1"/>
  <c r="D129" i="1"/>
  <c r="G129" i="1" s="1"/>
  <c r="D130" i="1"/>
  <c r="D131" i="1"/>
  <c r="G131" i="1" s="1"/>
  <c r="D132" i="1"/>
  <c r="G132" i="1" s="1"/>
  <c r="D133" i="1"/>
  <c r="G133" i="1" s="1"/>
  <c r="D134" i="1"/>
  <c r="G134" i="1" s="1"/>
  <c r="D135" i="1"/>
  <c r="G135" i="1" s="1"/>
  <c r="D136" i="1"/>
  <c r="G136" i="1" s="1"/>
  <c r="D137" i="1"/>
  <c r="G137" i="1" s="1"/>
  <c r="D138" i="1"/>
  <c r="D139" i="1"/>
  <c r="G139" i="1" s="1"/>
  <c r="D140" i="1"/>
  <c r="G140" i="1" s="1"/>
  <c r="D141" i="1"/>
  <c r="G141" i="1" s="1"/>
  <c r="D142" i="1"/>
  <c r="G142" i="1" s="1"/>
  <c r="D143" i="1"/>
  <c r="G143" i="1" s="1"/>
  <c r="D144" i="1"/>
  <c r="G144" i="1" s="1"/>
  <c r="D145" i="1"/>
  <c r="G145" i="1" s="1"/>
  <c r="D146" i="1"/>
  <c r="D147" i="1"/>
  <c r="G147" i="1" s="1"/>
  <c r="D148" i="1"/>
  <c r="G148" i="1" s="1"/>
  <c r="D149" i="1"/>
  <c r="G149" i="1" s="1"/>
  <c r="D150" i="1"/>
  <c r="G150" i="1" s="1"/>
  <c r="D151" i="1"/>
  <c r="G151" i="1" s="1"/>
  <c r="D152" i="1"/>
  <c r="G152" i="1" s="1"/>
  <c r="D153" i="1"/>
  <c r="G153" i="1" s="1"/>
  <c r="D154" i="1"/>
  <c r="D155" i="1"/>
  <c r="G155" i="1" s="1"/>
  <c r="D156" i="1"/>
  <c r="G156" i="1" s="1"/>
  <c r="D157" i="1"/>
  <c r="G157" i="1" s="1"/>
  <c r="D158" i="1"/>
  <c r="G158" i="1" s="1"/>
  <c r="D159" i="1"/>
  <c r="G159" i="1" s="1"/>
  <c r="D160" i="1"/>
  <c r="G160" i="1" s="1"/>
  <c r="D161" i="1"/>
  <c r="G161" i="1" s="1"/>
  <c r="D162" i="1"/>
  <c r="D163" i="1"/>
  <c r="G163" i="1" s="1"/>
  <c r="D164" i="1"/>
  <c r="G164" i="1" s="1"/>
  <c r="D165" i="1"/>
  <c r="G165" i="1" s="1"/>
  <c r="D166" i="1"/>
  <c r="G166" i="1" s="1"/>
  <c r="D167" i="1"/>
  <c r="G167" i="1" s="1"/>
  <c r="D168" i="1"/>
  <c r="G168" i="1" s="1"/>
  <c r="D169" i="1"/>
  <c r="G169" i="1" s="1"/>
  <c r="D170" i="1"/>
  <c r="D171" i="1"/>
  <c r="G171" i="1" s="1"/>
  <c r="D172" i="1"/>
  <c r="G172" i="1" s="1"/>
  <c r="D173" i="1"/>
  <c r="G173" i="1" s="1"/>
  <c r="D174" i="1"/>
  <c r="G174" i="1" s="1"/>
  <c r="D175" i="1"/>
  <c r="G175" i="1" s="1"/>
  <c r="D176" i="1"/>
  <c r="G176" i="1" s="1"/>
  <c r="D177" i="1"/>
  <c r="G177" i="1" s="1"/>
  <c r="D178" i="1"/>
  <c r="D179" i="1"/>
  <c r="G179" i="1" s="1"/>
  <c r="D180" i="1"/>
  <c r="G180" i="1" s="1"/>
  <c r="D181" i="1"/>
  <c r="G181" i="1" s="1"/>
  <c r="D182" i="1"/>
  <c r="G182" i="1" s="1"/>
  <c r="D183" i="1"/>
  <c r="G183" i="1" s="1"/>
  <c r="D184" i="1"/>
  <c r="G184" i="1" s="1"/>
  <c r="D185" i="1"/>
  <c r="G185" i="1" s="1"/>
  <c r="D186" i="1"/>
  <c r="D187" i="1"/>
  <c r="G187" i="1" s="1"/>
  <c r="D188" i="1"/>
  <c r="G188" i="1" s="1"/>
  <c r="D189" i="1"/>
  <c r="G189" i="1" s="1"/>
  <c r="D190" i="1"/>
  <c r="G190" i="1" s="1"/>
  <c r="D191" i="1"/>
  <c r="G191" i="1" s="1"/>
  <c r="D192" i="1"/>
  <c r="G192" i="1" s="1"/>
  <c r="D193" i="1"/>
  <c r="G193" i="1" s="1"/>
  <c r="D194" i="1"/>
  <c r="D195" i="1"/>
  <c r="G195" i="1" s="1"/>
  <c r="D196" i="1"/>
  <c r="G196" i="1" s="1"/>
  <c r="D197" i="1"/>
  <c r="G197" i="1" s="1"/>
  <c r="D198" i="1"/>
  <c r="G198" i="1" s="1"/>
  <c r="D199" i="1"/>
  <c r="G199" i="1" s="1"/>
  <c r="D200" i="1"/>
  <c r="G200" i="1" s="1"/>
  <c r="D201" i="1"/>
  <c r="G201" i="1" s="1"/>
  <c r="D202" i="1"/>
  <c r="D203" i="1"/>
  <c r="G203" i="1" s="1"/>
  <c r="D204" i="1"/>
  <c r="G204" i="1" s="1"/>
  <c r="D205" i="1"/>
  <c r="G205" i="1" s="1"/>
  <c r="D206" i="1"/>
  <c r="G206" i="1" s="1"/>
  <c r="D207" i="1"/>
  <c r="G207" i="1" s="1"/>
  <c r="D208" i="1"/>
  <c r="G208" i="1" s="1"/>
  <c r="D209" i="1"/>
  <c r="G209" i="1" s="1"/>
  <c r="D210" i="1"/>
  <c r="D211" i="1"/>
  <c r="G211" i="1" s="1"/>
  <c r="D212" i="1"/>
  <c r="G212" i="1" s="1"/>
  <c r="D213" i="1"/>
  <c r="G213" i="1" s="1"/>
  <c r="D214" i="1"/>
  <c r="G214" i="1" s="1"/>
  <c r="D215" i="1"/>
  <c r="G215" i="1" s="1"/>
  <c r="D216" i="1"/>
  <c r="G216" i="1" s="1"/>
  <c r="D217" i="1"/>
  <c r="G217" i="1" s="1"/>
  <c r="D218" i="1"/>
  <c r="D219" i="1"/>
  <c r="G219" i="1" s="1"/>
  <c r="D220" i="1"/>
  <c r="G220" i="1" s="1"/>
  <c r="D221" i="1"/>
  <c r="G221" i="1" s="1"/>
  <c r="D222" i="1"/>
  <c r="G222" i="1" s="1"/>
  <c r="D223" i="1"/>
  <c r="G223" i="1" s="1"/>
  <c r="D224" i="1"/>
  <c r="G224" i="1" s="1"/>
  <c r="D225" i="1"/>
  <c r="G225" i="1" s="1"/>
  <c r="D226" i="1"/>
  <c r="G226" i="1" s="1"/>
  <c r="D227" i="1"/>
  <c r="G227" i="1" s="1"/>
  <c r="D228" i="1"/>
  <c r="G228" i="1" s="1"/>
  <c r="D229" i="1"/>
  <c r="G229" i="1" s="1"/>
  <c r="D230" i="1"/>
  <c r="G230" i="1" s="1"/>
  <c r="D231" i="1"/>
  <c r="G231" i="1" s="1"/>
  <c r="D232" i="1"/>
  <c r="G232" i="1" s="1"/>
  <c r="D233" i="1"/>
  <c r="G233" i="1" s="1"/>
  <c r="D234" i="1"/>
  <c r="G234" i="1" s="1"/>
  <c r="D235" i="1"/>
  <c r="G235" i="1" s="1"/>
  <c r="D236" i="1"/>
  <c r="G236" i="1" s="1"/>
  <c r="D237" i="1"/>
  <c r="G237" i="1" s="1"/>
  <c r="D238" i="1"/>
  <c r="G238" i="1" s="1"/>
  <c r="D239" i="1"/>
  <c r="G239" i="1" s="1"/>
  <c r="D240" i="1"/>
  <c r="G240" i="1" s="1"/>
  <c r="D241" i="1"/>
  <c r="G241" i="1" s="1"/>
  <c r="D242" i="1"/>
  <c r="G242" i="1" s="1"/>
  <c r="D243" i="1"/>
  <c r="G243" i="1" s="1"/>
  <c r="D244" i="1"/>
  <c r="G244" i="1" s="1"/>
  <c r="D245" i="1"/>
  <c r="G245" i="1" s="1"/>
  <c r="D246" i="1"/>
  <c r="G246" i="1" s="1"/>
  <c r="D247" i="1"/>
  <c r="G247" i="1" s="1"/>
  <c r="D248" i="1"/>
  <c r="G248" i="1" s="1"/>
  <c r="D249" i="1"/>
  <c r="G249" i="1" s="1"/>
  <c r="D250" i="1"/>
  <c r="G250" i="1" s="1"/>
  <c r="D251" i="1"/>
  <c r="G251" i="1" s="1"/>
  <c r="D252" i="1"/>
  <c r="G252" i="1" s="1"/>
  <c r="D253" i="1"/>
  <c r="G253" i="1" s="1"/>
  <c r="D254" i="1"/>
  <c r="G254" i="1" s="1"/>
  <c r="D255" i="1"/>
  <c r="G255" i="1" s="1"/>
  <c r="D256" i="1"/>
  <c r="G256" i="1" s="1"/>
  <c r="D257" i="1"/>
  <c r="G257" i="1" s="1"/>
  <c r="D258" i="1"/>
  <c r="G258" i="1" s="1"/>
  <c r="D259" i="1"/>
  <c r="G259" i="1" s="1"/>
  <c r="D260" i="1"/>
  <c r="G260" i="1" s="1"/>
  <c r="D261" i="1"/>
  <c r="G261" i="1" s="1"/>
  <c r="D262" i="1"/>
  <c r="G262" i="1" s="1"/>
  <c r="D263" i="1"/>
  <c r="G263" i="1" s="1"/>
  <c r="D264" i="1"/>
  <c r="G264" i="1" s="1"/>
  <c r="D265" i="1"/>
  <c r="G265" i="1" s="1"/>
  <c r="D266" i="1"/>
  <c r="G266" i="1" s="1"/>
  <c r="D267" i="1"/>
  <c r="G267" i="1" s="1"/>
  <c r="D268" i="1"/>
  <c r="G268" i="1" s="1"/>
  <c r="D269" i="1"/>
  <c r="G269" i="1" s="1"/>
  <c r="D270" i="1"/>
  <c r="G270" i="1" s="1"/>
  <c r="D271" i="1"/>
  <c r="G271" i="1" s="1"/>
  <c r="D272" i="1"/>
  <c r="G272" i="1" s="1"/>
  <c r="D273" i="1"/>
  <c r="G273" i="1" s="1"/>
  <c r="D274" i="1"/>
  <c r="G274" i="1" s="1"/>
  <c r="D275" i="1"/>
  <c r="G275" i="1" s="1"/>
  <c r="D276" i="1"/>
  <c r="G276" i="1" s="1"/>
  <c r="D277" i="1"/>
  <c r="G277" i="1" s="1"/>
  <c r="D278" i="1"/>
  <c r="G278" i="1" s="1"/>
  <c r="D279" i="1"/>
  <c r="G279" i="1" s="1"/>
  <c r="D280" i="1"/>
  <c r="G280" i="1" s="1"/>
  <c r="D281" i="1"/>
  <c r="G281" i="1" s="1"/>
  <c r="D282" i="1"/>
  <c r="G282" i="1" s="1"/>
  <c r="D283" i="1"/>
  <c r="G283" i="1" s="1"/>
  <c r="D284" i="1"/>
  <c r="G284" i="1" s="1"/>
  <c r="D285" i="1"/>
  <c r="G285" i="1" s="1"/>
  <c r="D286" i="1"/>
  <c r="G286" i="1" s="1"/>
  <c r="D287" i="1"/>
  <c r="G287" i="1" s="1"/>
  <c r="D288" i="1"/>
  <c r="G288" i="1" s="1"/>
  <c r="D289" i="1"/>
  <c r="G289" i="1" s="1"/>
  <c r="D290" i="1"/>
  <c r="G290" i="1" s="1"/>
  <c r="D291" i="1"/>
  <c r="G291" i="1" s="1"/>
  <c r="D292" i="1"/>
  <c r="G292" i="1" s="1"/>
  <c r="D293" i="1"/>
  <c r="G293" i="1" s="1"/>
  <c r="D294" i="1"/>
  <c r="G294" i="1" s="1"/>
  <c r="D295" i="1"/>
  <c r="G295" i="1" s="1"/>
  <c r="D296" i="1"/>
  <c r="G296" i="1" s="1"/>
  <c r="D297" i="1"/>
  <c r="G297" i="1" s="1"/>
  <c r="D298" i="1"/>
  <c r="G298" i="1" s="1"/>
  <c r="D299" i="1"/>
  <c r="G299" i="1" s="1"/>
  <c r="D300" i="1"/>
  <c r="G300" i="1" s="1"/>
  <c r="D301" i="1"/>
  <c r="G301" i="1" s="1"/>
  <c r="D302" i="1"/>
  <c r="G302" i="1" s="1"/>
  <c r="D303" i="1"/>
  <c r="G303" i="1" s="1"/>
  <c r="D304" i="1"/>
  <c r="G304" i="1" s="1"/>
  <c r="D305" i="1"/>
  <c r="G305" i="1" s="1"/>
  <c r="D306" i="1"/>
  <c r="G306" i="1" s="1"/>
  <c r="D307" i="1"/>
  <c r="G307" i="1" s="1"/>
  <c r="D308" i="1"/>
  <c r="G308" i="1" s="1"/>
  <c r="D309" i="1"/>
  <c r="G309" i="1" s="1"/>
  <c r="D310" i="1"/>
  <c r="G310" i="1" s="1"/>
  <c r="D311" i="1"/>
  <c r="G311" i="1" s="1"/>
  <c r="D312" i="1"/>
  <c r="G312" i="1" s="1"/>
  <c r="D313" i="1"/>
  <c r="G313" i="1" s="1"/>
  <c r="D314" i="1"/>
  <c r="G314" i="1" s="1"/>
  <c r="D315" i="1"/>
  <c r="G315" i="1" s="1"/>
  <c r="D316" i="1"/>
  <c r="G316" i="1" s="1"/>
  <c r="D317" i="1"/>
  <c r="G317" i="1" s="1"/>
  <c r="D318" i="1"/>
  <c r="G318" i="1" s="1"/>
  <c r="D319" i="1"/>
  <c r="G319" i="1" s="1"/>
  <c r="D320" i="1"/>
  <c r="G320" i="1" s="1"/>
  <c r="D321" i="1"/>
  <c r="G321" i="1" s="1"/>
  <c r="D322" i="1"/>
  <c r="G322" i="1" s="1"/>
  <c r="D323" i="1"/>
  <c r="G323" i="1" s="1"/>
  <c r="D324" i="1"/>
  <c r="G324" i="1" s="1"/>
  <c r="D325" i="1"/>
  <c r="G325" i="1" s="1"/>
  <c r="D326" i="1"/>
  <c r="G326" i="1" s="1"/>
  <c r="D327" i="1"/>
  <c r="G327" i="1" s="1"/>
  <c r="D328" i="1"/>
  <c r="G328" i="1" s="1"/>
  <c r="D329" i="1"/>
  <c r="G329" i="1" s="1"/>
  <c r="D330" i="1"/>
  <c r="G330" i="1" s="1"/>
  <c r="D331" i="1"/>
  <c r="G331" i="1" s="1"/>
  <c r="D332" i="1"/>
  <c r="G332" i="1" s="1"/>
  <c r="D333" i="1"/>
  <c r="G333" i="1" s="1"/>
  <c r="D334" i="1"/>
  <c r="G334" i="1" s="1"/>
  <c r="D335" i="1"/>
  <c r="G335" i="1" s="1"/>
  <c r="D336" i="1"/>
  <c r="G336" i="1" s="1"/>
  <c r="D337" i="1"/>
  <c r="G337" i="1" s="1"/>
  <c r="D338" i="1"/>
  <c r="G338" i="1" s="1"/>
  <c r="D339" i="1"/>
  <c r="G339" i="1" s="1"/>
  <c r="D340" i="1"/>
  <c r="G340" i="1" s="1"/>
  <c r="D341" i="1"/>
  <c r="G341" i="1" s="1"/>
  <c r="D342" i="1"/>
  <c r="G342" i="1" s="1"/>
  <c r="D343" i="1"/>
  <c r="G343" i="1" s="1"/>
  <c r="D344" i="1"/>
  <c r="G344" i="1" s="1"/>
  <c r="D345" i="1"/>
  <c r="G345" i="1" s="1"/>
  <c r="D346" i="1"/>
  <c r="G346" i="1" s="1"/>
  <c r="D347" i="1"/>
  <c r="G347" i="1" s="1"/>
  <c r="D348" i="1"/>
  <c r="G348" i="1" s="1"/>
  <c r="D349" i="1"/>
  <c r="G349" i="1" s="1"/>
  <c r="D350" i="1"/>
  <c r="G350" i="1" s="1"/>
  <c r="D351" i="1"/>
  <c r="G351" i="1" s="1"/>
  <c r="D352" i="1"/>
  <c r="G352" i="1" s="1"/>
  <c r="D353" i="1"/>
  <c r="G353" i="1" s="1"/>
  <c r="D354" i="1"/>
  <c r="G354" i="1" s="1"/>
  <c r="D355" i="1"/>
  <c r="G355" i="1" s="1"/>
  <c r="D356" i="1"/>
  <c r="G356" i="1" s="1"/>
  <c r="D357" i="1"/>
  <c r="G357" i="1" s="1"/>
  <c r="D358" i="1"/>
  <c r="G358" i="1" s="1"/>
  <c r="D359" i="1"/>
  <c r="G359" i="1" s="1"/>
  <c r="D360" i="1"/>
  <c r="G360" i="1" s="1"/>
  <c r="D361" i="1"/>
  <c r="G361" i="1" s="1"/>
  <c r="D362" i="1"/>
  <c r="G362" i="1" s="1"/>
  <c r="D363" i="1"/>
  <c r="G363" i="1" s="1"/>
  <c r="D364" i="1"/>
  <c r="G364" i="1" s="1"/>
  <c r="D365" i="1"/>
  <c r="G365" i="1" s="1"/>
  <c r="D366" i="1"/>
  <c r="G366" i="1" s="1"/>
  <c r="D367" i="1"/>
  <c r="G367" i="1" s="1"/>
  <c r="D368" i="1"/>
  <c r="G368" i="1" s="1"/>
  <c r="D369" i="1"/>
  <c r="G369" i="1" s="1"/>
  <c r="D370" i="1"/>
  <c r="G370" i="1" s="1"/>
  <c r="D371" i="1"/>
  <c r="G371" i="1" s="1"/>
  <c r="D372" i="1"/>
  <c r="G372" i="1" s="1"/>
  <c r="D373" i="1"/>
  <c r="G373" i="1" s="1"/>
  <c r="D374" i="1"/>
  <c r="G374" i="1" s="1"/>
  <c r="D375" i="1"/>
  <c r="G375" i="1" s="1"/>
  <c r="D376" i="1"/>
  <c r="G376" i="1" s="1"/>
  <c r="D377" i="1"/>
  <c r="G377" i="1" s="1"/>
  <c r="D378" i="1"/>
  <c r="G378" i="1" s="1"/>
  <c r="D379" i="1"/>
  <c r="G379" i="1" s="1"/>
  <c r="D380" i="1"/>
  <c r="G380" i="1" s="1"/>
  <c r="D381" i="1"/>
  <c r="G381" i="1" s="1"/>
  <c r="D382" i="1"/>
  <c r="G382" i="1" s="1"/>
  <c r="D383" i="1"/>
  <c r="G383" i="1" s="1"/>
  <c r="D384" i="1"/>
  <c r="G384" i="1" s="1"/>
  <c r="D385" i="1"/>
  <c r="G385" i="1" s="1"/>
  <c r="D386" i="1"/>
  <c r="G386" i="1" s="1"/>
  <c r="D387" i="1"/>
  <c r="G387" i="1" s="1"/>
  <c r="D388" i="1"/>
  <c r="G388" i="1" s="1"/>
  <c r="D389" i="1"/>
  <c r="G389" i="1" s="1"/>
  <c r="D390" i="1"/>
  <c r="G390" i="1" s="1"/>
  <c r="D391" i="1"/>
  <c r="G391" i="1" s="1"/>
  <c r="D392" i="1"/>
  <c r="G392" i="1" s="1"/>
  <c r="D393" i="1"/>
  <c r="G393" i="1" s="1"/>
  <c r="D394" i="1"/>
  <c r="G394" i="1" s="1"/>
  <c r="D395" i="1"/>
  <c r="G395" i="1" s="1"/>
  <c r="D396" i="1"/>
  <c r="G396" i="1" s="1"/>
  <c r="D397" i="1"/>
  <c r="G397" i="1" s="1"/>
  <c r="D398" i="1"/>
  <c r="G398" i="1" s="1"/>
  <c r="D399" i="1"/>
  <c r="G399" i="1" s="1"/>
  <c r="D400" i="1"/>
  <c r="G400" i="1" s="1"/>
  <c r="D401" i="1"/>
  <c r="G401" i="1" s="1"/>
  <c r="D402" i="1"/>
  <c r="G402" i="1" s="1"/>
  <c r="D403" i="1"/>
  <c r="G403" i="1" s="1"/>
  <c r="D404" i="1"/>
  <c r="G404" i="1" s="1"/>
  <c r="D405" i="1"/>
  <c r="G405" i="1" s="1"/>
  <c r="D406" i="1"/>
  <c r="G406" i="1" s="1"/>
  <c r="D407" i="1"/>
  <c r="G407" i="1" s="1"/>
  <c r="D408" i="1"/>
  <c r="G408" i="1" s="1"/>
  <c r="D409" i="1"/>
  <c r="G409" i="1" s="1"/>
  <c r="D410" i="1"/>
  <c r="G410" i="1" s="1"/>
  <c r="D411" i="1"/>
  <c r="G411" i="1" s="1"/>
  <c r="D412" i="1"/>
  <c r="G412" i="1" s="1"/>
  <c r="D413" i="1"/>
  <c r="G413" i="1" s="1"/>
  <c r="D414" i="1"/>
  <c r="G414" i="1" s="1"/>
  <c r="D415" i="1"/>
  <c r="G415" i="1" s="1"/>
  <c r="D416" i="1"/>
  <c r="G416" i="1" s="1"/>
  <c r="D417" i="1"/>
  <c r="G417" i="1" s="1"/>
  <c r="D418" i="1"/>
  <c r="G418" i="1" s="1"/>
  <c r="D419" i="1"/>
  <c r="G419" i="1" s="1"/>
  <c r="D420" i="1"/>
  <c r="G420" i="1" s="1"/>
  <c r="D421" i="1"/>
  <c r="G421" i="1" s="1"/>
  <c r="D422" i="1"/>
  <c r="G422" i="1" s="1"/>
  <c r="D423" i="1"/>
  <c r="G423" i="1" s="1"/>
  <c r="D424" i="1"/>
  <c r="G424" i="1" s="1"/>
  <c r="D425" i="1"/>
  <c r="G425" i="1" s="1"/>
  <c r="D426" i="1"/>
  <c r="G426" i="1" s="1"/>
  <c r="D427" i="1"/>
  <c r="G427" i="1" s="1"/>
  <c r="D428" i="1"/>
  <c r="G428" i="1" s="1"/>
  <c r="D429" i="1"/>
  <c r="G429" i="1" s="1"/>
  <c r="D430" i="1"/>
  <c r="G430" i="1" s="1"/>
  <c r="D431" i="1"/>
  <c r="G431" i="1" s="1"/>
  <c r="D432" i="1"/>
  <c r="G432" i="1" s="1"/>
  <c r="D433" i="1"/>
  <c r="G433" i="1" s="1"/>
  <c r="D434" i="1"/>
  <c r="G434" i="1" s="1"/>
  <c r="D435" i="1"/>
  <c r="G435" i="1" s="1"/>
  <c r="D436" i="1"/>
  <c r="G436" i="1" s="1"/>
  <c r="D437" i="1"/>
  <c r="G437" i="1" s="1"/>
  <c r="D438" i="1"/>
  <c r="G438" i="1" s="1"/>
  <c r="D439" i="1"/>
  <c r="G439" i="1" s="1"/>
  <c r="D440" i="1"/>
  <c r="G440" i="1" s="1"/>
  <c r="D441" i="1"/>
  <c r="G441" i="1" s="1"/>
  <c r="D442" i="1"/>
  <c r="G442" i="1" s="1"/>
  <c r="D443" i="1"/>
  <c r="G443" i="1" s="1"/>
  <c r="D444" i="1"/>
  <c r="G444" i="1" s="1"/>
  <c r="D445" i="1"/>
  <c r="G445" i="1" s="1"/>
  <c r="D446" i="1"/>
  <c r="G446" i="1" s="1"/>
  <c r="D447" i="1"/>
  <c r="G447" i="1" s="1"/>
  <c r="D448" i="1"/>
  <c r="G448" i="1" s="1"/>
  <c r="D449" i="1"/>
  <c r="G449" i="1" s="1"/>
  <c r="D450" i="1"/>
  <c r="G450" i="1" s="1"/>
  <c r="D451" i="1"/>
  <c r="G451" i="1" s="1"/>
  <c r="D452" i="1"/>
  <c r="G452" i="1" s="1"/>
  <c r="D453" i="1"/>
  <c r="G453" i="1" s="1"/>
  <c r="D454" i="1"/>
  <c r="G454" i="1" s="1"/>
  <c r="D455" i="1"/>
  <c r="G455" i="1" s="1"/>
  <c r="D456" i="1"/>
  <c r="G456" i="1" s="1"/>
  <c r="D457" i="1"/>
  <c r="G457" i="1" s="1"/>
  <c r="D458" i="1"/>
  <c r="G458" i="1" s="1"/>
  <c r="D459" i="1"/>
  <c r="G459" i="1" s="1"/>
  <c r="D460" i="1"/>
  <c r="G460" i="1" s="1"/>
  <c r="D461" i="1"/>
  <c r="G461" i="1" s="1"/>
  <c r="D462" i="1"/>
  <c r="G462" i="1" s="1"/>
  <c r="D463" i="1"/>
  <c r="G463" i="1" s="1"/>
  <c r="D464" i="1"/>
  <c r="G464" i="1" s="1"/>
  <c r="D465" i="1"/>
  <c r="G465" i="1" s="1"/>
  <c r="D466" i="1"/>
  <c r="G466" i="1" s="1"/>
  <c r="D467" i="1"/>
  <c r="G467" i="1" s="1"/>
  <c r="D468" i="1"/>
  <c r="G468" i="1" s="1"/>
  <c r="D469" i="1"/>
  <c r="G469" i="1" s="1"/>
  <c r="D470" i="1"/>
  <c r="G470" i="1" s="1"/>
  <c r="D471" i="1"/>
  <c r="G471" i="1" s="1"/>
  <c r="D472" i="1"/>
  <c r="G472" i="1" s="1"/>
  <c r="D473" i="1"/>
  <c r="G473" i="1" s="1"/>
  <c r="D474" i="1"/>
  <c r="G474" i="1" s="1"/>
  <c r="D475" i="1"/>
  <c r="G475" i="1" s="1"/>
  <c r="D476" i="1"/>
  <c r="G476" i="1" s="1"/>
  <c r="D477" i="1"/>
  <c r="G477" i="1" s="1"/>
  <c r="D478" i="1"/>
  <c r="G478" i="1" s="1"/>
  <c r="D479" i="1"/>
  <c r="G479" i="1" s="1"/>
  <c r="D480" i="1"/>
  <c r="G480" i="1" s="1"/>
  <c r="D481" i="1"/>
  <c r="G481" i="1" s="1"/>
  <c r="D482" i="1"/>
  <c r="G482" i="1" s="1"/>
  <c r="D483" i="1"/>
  <c r="G483" i="1" s="1"/>
  <c r="D484" i="1"/>
  <c r="G484" i="1" s="1"/>
  <c r="D485" i="1"/>
  <c r="G485" i="1" s="1"/>
  <c r="D486" i="1"/>
  <c r="G486" i="1" s="1"/>
  <c r="D487" i="1"/>
  <c r="G487" i="1" s="1"/>
  <c r="D488" i="1"/>
  <c r="G488" i="1" s="1"/>
  <c r="D489" i="1"/>
  <c r="G489" i="1" s="1"/>
  <c r="D490" i="1"/>
  <c r="G490" i="1" s="1"/>
  <c r="D491" i="1"/>
  <c r="G491" i="1" s="1"/>
  <c r="D492" i="1"/>
  <c r="G492" i="1" s="1"/>
  <c r="D493" i="1"/>
  <c r="G493" i="1" s="1"/>
  <c r="D494" i="1"/>
  <c r="G494" i="1" s="1"/>
  <c r="D495" i="1"/>
  <c r="G495" i="1" s="1"/>
  <c r="D496" i="1"/>
  <c r="G496" i="1" s="1"/>
  <c r="D497" i="1"/>
  <c r="G497" i="1" s="1"/>
  <c r="D498" i="1"/>
  <c r="G498" i="1" s="1"/>
  <c r="D499" i="1"/>
  <c r="G499" i="1" s="1"/>
  <c r="D500" i="1"/>
  <c r="G500" i="1" s="1"/>
  <c r="D501" i="1"/>
  <c r="G501" i="1" s="1"/>
  <c r="D502" i="1"/>
  <c r="G502" i="1" s="1"/>
  <c r="D503" i="1"/>
  <c r="G503" i="1" s="1"/>
  <c r="D504" i="1"/>
  <c r="G504" i="1" s="1"/>
  <c r="D505" i="1"/>
  <c r="G505" i="1" s="1"/>
  <c r="D506" i="1"/>
  <c r="G506" i="1" s="1"/>
  <c r="D507" i="1"/>
  <c r="G507" i="1" s="1"/>
  <c r="D508" i="1"/>
  <c r="G508" i="1" s="1"/>
  <c r="D509" i="1"/>
  <c r="G509" i="1" s="1"/>
  <c r="D510" i="1"/>
  <c r="G510" i="1" s="1"/>
  <c r="D511" i="1"/>
  <c r="G511" i="1" s="1"/>
  <c r="D512" i="1"/>
  <c r="G512" i="1" s="1"/>
  <c r="D513" i="1"/>
  <c r="G513" i="1" s="1"/>
  <c r="D514" i="1"/>
  <c r="G514" i="1" s="1"/>
  <c r="D515" i="1"/>
  <c r="G515" i="1" s="1"/>
  <c r="D516" i="1"/>
  <c r="G516" i="1" s="1"/>
  <c r="D517" i="1"/>
  <c r="G517" i="1" s="1"/>
  <c r="D518" i="1"/>
  <c r="G518" i="1" s="1"/>
  <c r="D519" i="1"/>
  <c r="G519" i="1" s="1"/>
  <c r="D520" i="1"/>
  <c r="G520" i="1" s="1"/>
  <c r="D521" i="1"/>
  <c r="G521" i="1" s="1"/>
  <c r="D522" i="1"/>
  <c r="G522" i="1" s="1"/>
  <c r="D523" i="1"/>
  <c r="G523" i="1" s="1"/>
  <c r="D524" i="1"/>
  <c r="G524" i="1" s="1"/>
  <c r="D525" i="1"/>
  <c r="G525" i="1" s="1"/>
  <c r="D526" i="1"/>
  <c r="G526" i="1" s="1"/>
  <c r="D527" i="1"/>
  <c r="G527" i="1" s="1"/>
  <c r="D528" i="1"/>
  <c r="G528" i="1" s="1"/>
  <c r="D529" i="1"/>
  <c r="G529" i="1" s="1"/>
  <c r="D530" i="1"/>
  <c r="G530" i="1" s="1"/>
  <c r="D531" i="1"/>
  <c r="G531" i="1" s="1"/>
  <c r="D532" i="1"/>
  <c r="G532" i="1" s="1"/>
  <c r="D533" i="1"/>
  <c r="G533" i="1" s="1"/>
  <c r="D534" i="1"/>
  <c r="G534" i="1" s="1"/>
  <c r="D535" i="1"/>
  <c r="G535" i="1" s="1"/>
  <c r="D536" i="1"/>
  <c r="G536" i="1" s="1"/>
  <c r="D537" i="1"/>
  <c r="G537" i="1" s="1"/>
  <c r="D538" i="1"/>
  <c r="G538" i="1" s="1"/>
  <c r="D539" i="1"/>
  <c r="G539" i="1" s="1"/>
  <c r="D540" i="1"/>
  <c r="G540" i="1" s="1"/>
  <c r="D541" i="1"/>
  <c r="G541" i="1" s="1"/>
  <c r="D542" i="1"/>
  <c r="G542" i="1" s="1"/>
  <c r="D543" i="1"/>
  <c r="G543" i="1" s="1"/>
  <c r="D544" i="1"/>
  <c r="G544" i="1" s="1"/>
  <c r="D545" i="1"/>
  <c r="G545" i="1" s="1"/>
  <c r="D546" i="1"/>
  <c r="G546" i="1" s="1"/>
  <c r="D547" i="1"/>
  <c r="G547" i="1" s="1"/>
  <c r="D548" i="1"/>
  <c r="G548" i="1" s="1"/>
  <c r="D549" i="1"/>
  <c r="G549" i="1" s="1"/>
  <c r="D550" i="1"/>
  <c r="G550" i="1" s="1"/>
  <c r="D551" i="1"/>
  <c r="G551" i="1" s="1"/>
  <c r="D552" i="1"/>
  <c r="G552" i="1" s="1"/>
  <c r="D553" i="1"/>
  <c r="G553" i="1" s="1"/>
  <c r="D554" i="1"/>
  <c r="G554" i="1" s="1"/>
  <c r="D555" i="1"/>
  <c r="G555" i="1" s="1"/>
  <c r="D556" i="1"/>
  <c r="G556" i="1" s="1"/>
  <c r="D557" i="1"/>
  <c r="G557" i="1" s="1"/>
  <c r="D558" i="1"/>
  <c r="G558" i="1" s="1"/>
  <c r="D559" i="1"/>
  <c r="G559" i="1" s="1"/>
  <c r="D560" i="1"/>
  <c r="G560" i="1" s="1"/>
  <c r="D561" i="1"/>
  <c r="G561" i="1" s="1"/>
  <c r="D562" i="1"/>
  <c r="G562" i="1" s="1"/>
  <c r="D563" i="1"/>
  <c r="G563" i="1" s="1"/>
  <c r="D564" i="1"/>
  <c r="G564" i="1" s="1"/>
  <c r="D565" i="1"/>
  <c r="G565" i="1" s="1"/>
  <c r="D566" i="1"/>
  <c r="G566" i="1" s="1"/>
  <c r="D567" i="1"/>
  <c r="G567" i="1" s="1"/>
  <c r="D568" i="1"/>
  <c r="G568" i="1" s="1"/>
  <c r="D569" i="1"/>
  <c r="G569" i="1" s="1"/>
  <c r="D570" i="1"/>
  <c r="G570" i="1" s="1"/>
  <c r="D571" i="1"/>
  <c r="G571" i="1" s="1"/>
  <c r="D572" i="1"/>
  <c r="G572" i="1" s="1"/>
  <c r="D573" i="1"/>
  <c r="G573" i="1" s="1"/>
  <c r="D574" i="1"/>
  <c r="G574" i="1" s="1"/>
  <c r="D575" i="1"/>
  <c r="G575" i="1" s="1"/>
  <c r="D576" i="1"/>
  <c r="G576" i="1" s="1"/>
  <c r="D577" i="1"/>
  <c r="G577" i="1" s="1"/>
  <c r="D578" i="1"/>
  <c r="G578" i="1" s="1"/>
  <c r="D579" i="1"/>
  <c r="G579" i="1" s="1"/>
  <c r="D580" i="1"/>
  <c r="G580" i="1" s="1"/>
  <c r="D581" i="1"/>
  <c r="G581" i="1" s="1"/>
  <c r="D582" i="1"/>
  <c r="G582" i="1" s="1"/>
  <c r="D583" i="1"/>
  <c r="G583" i="1" s="1"/>
  <c r="D584" i="1"/>
  <c r="G584" i="1" s="1"/>
  <c r="D585" i="1"/>
  <c r="G585" i="1" s="1"/>
  <c r="D586" i="1"/>
  <c r="G586" i="1" s="1"/>
  <c r="D587" i="1"/>
  <c r="G587" i="1" s="1"/>
  <c r="D588" i="1"/>
  <c r="G588" i="1" s="1"/>
  <c r="D589" i="1"/>
  <c r="G589" i="1" s="1"/>
  <c r="D590" i="1"/>
  <c r="G590" i="1" s="1"/>
  <c r="D591" i="1"/>
  <c r="G591" i="1" s="1"/>
  <c r="D592" i="1"/>
  <c r="G592" i="1" s="1"/>
  <c r="D593" i="1"/>
  <c r="G593" i="1" s="1"/>
  <c r="D594" i="1"/>
  <c r="G594" i="1" s="1"/>
  <c r="D595" i="1"/>
  <c r="G595" i="1" s="1"/>
  <c r="D596" i="1"/>
  <c r="G596" i="1" s="1"/>
  <c r="D597" i="1"/>
  <c r="G597" i="1" s="1"/>
  <c r="D598" i="1"/>
  <c r="G598" i="1" s="1"/>
  <c r="D599" i="1"/>
  <c r="G599" i="1" s="1"/>
  <c r="D600" i="1"/>
  <c r="G600" i="1" s="1"/>
  <c r="D601" i="1"/>
  <c r="G601" i="1" s="1"/>
  <c r="D602" i="1"/>
  <c r="G602" i="1" s="1"/>
  <c r="D603" i="1"/>
  <c r="G603" i="1" s="1"/>
  <c r="D604" i="1"/>
  <c r="G604" i="1" s="1"/>
  <c r="D605" i="1"/>
  <c r="G605" i="1" s="1"/>
  <c r="D606" i="1"/>
  <c r="G606" i="1" s="1"/>
  <c r="D607" i="1"/>
  <c r="G607" i="1" s="1"/>
  <c r="D608" i="1"/>
  <c r="G608" i="1" s="1"/>
  <c r="D609" i="1"/>
  <c r="G609" i="1" s="1"/>
  <c r="D610" i="1"/>
  <c r="G610" i="1" s="1"/>
  <c r="D611" i="1"/>
  <c r="G611" i="1" s="1"/>
  <c r="D612" i="1"/>
  <c r="G612" i="1" s="1"/>
  <c r="D613" i="1"/>
  <c r="G613" i="1" s="1"/>
  <c r="D614" i="1"/>
  <c r="G614" i="1" s="1"/>
  <c r="D615" i="1"/>
  <c r="G615" i="1" s="1"/>
  <c r="D616" i="1"/>
  <c r="G616" i="1" s="1"/>
  <c r="D617" i="1"/>
  <c r="G617" i="1" s="1"/>
  <c r="D618" i="1"/>
  <c r="G618" i="1" s="1"/>
  <c r="D619" i="1"/>
  <c r="G619" i="1" s="1"/>
  <c r="D620" i="1"/>
  <c r="G620" i="1" s="1"/>
  <c r="D621" i="1"/>
  <c r="G621" i="1" s="1"/>
  <c r="D622" i="1"/>
  <c r="G622" i="1" s="1"/>
  <c r="D623" i="1"/>
  <c r="G623" i="1" s="1"/>
  <c r="D624" i="1"/>
  <c r="G624" i="1" s="1"/>
  <c r="D625" i="1"/>
  <c r="G625" i="1" s="1"/>
  <c r="D626" i="1"/>
  <c r="G626" i="1" s="1"/>
  <c r="D627" i="1"/>
  <c r="G627" i="1" s="1"/>
  <c r="D628" i="1"/>
  <c r="G628" i="1" s="1"/>
  <c r="D629" i="1"/>
  <c r="G629" i="1" s="1"/>
  <c r="D630" i="1"/>
  <c r="G630" i="1" s="1"/>
  <c r="D631" i="1"/>
  <c r="G631" i="1" s="1"/>
  <c r="D632" i="1"/>
  <c r="G632" i="1" s="1"/>
  <c r="D633" i="1"/>
  <c r="G633" i="1" s="1"/>
  <c r="D634" i="1"/>
  <c r="G634" i="1" s="1"/>
  <c r="D635" i="1"/>
  <c r="G635" i="1" s="1"/>
  <c r="D636" i="1"/>
  <c r="G636" i="1" s="1"/>
  <c r="D637" i="1"/>
  <c r="G637" i="1" s="1"/>
  <c r="D638" i="1"/>
  <c r="G638" i="1" s="1"/>
  <c r="D639" i="1"/>
  <c r="G639" i="1" s="1"/>
  <c r="D640" i="1"/>
  <c r="G640" i="1" s="1"/>
  <c r="D641" i="1"/>
  <c r="G641" i="1" s="1"/>
  <c r="D642" i="1"/>
  <c r="G642" i="1" s="1"/>
  <c r="D643" i="1"/>
  <c r="G643" i="1" s="1"/>
  <c r="D644" i="1"/>
  <c r="G644" i="1" s="1"/>
  <c r="D645" i="1"/>
  <c r="G645" i="1" s="1"/>
  <c r="D646" i="1"/>
  <c r="G646" i="1" s="1"/>
  <c r="D647" i="1"/>
  <c r="G647" i="1" s="1"/>
  <c r="D648" i="1"/>
  <c r="G648" i="1" s="1"/>
  <c r="D649" i="1"/>
  <c r="G649" i="1" s="1"/>
  <c r="D650" i="1"/>
  <c r="G650" i="1" s="1"/>
  <c r="D651" i="1"/>
  <c r="G651" i="1" s="1"/>
  <c r="D652" i="1"/>
  <c r="G652" i="1" s="1"/>
  <c r="D653" i="1"/>
  <c r="G653" i="1" s="1"/>
  <c r="D654" i="1"/>
  <c r="G654" i="1" s="1"/>
  <c r="D655" i="1"/>
  <c r="G655" i="1" s="1"/>
  <c r="D656" i="1"/>
  <c r="G656" i="1" s="1"/>
  <c r="D657" i="1"/>
  <c r="G657" i="1" s="1"/>
  <c r="D658" i="1"/>
  <c r="G658" i="1" s="1"/>
  <c r="D659" i="1"/>
  <c r="G659" i="1" s="1"/>
  <c r="D660" i="1"/>
  <c r="G660" i="1" s="1"/>
  <c r="D661" i="1"/>
  <c r="G661" i="1" s="1"/>
  <c r="D662" i="1"/>
  <c r="G662" i="1" s="1"/>
  <c r="D663" i="1"/>
  <c r="G663" i="1" s="1"/>
  <c r="D664" i="1"/>
  <c r="G664" i="1" s="1"/>
  <c r="D665" i="1"/>
  <c r="G665" i="1" s="1"/>
  <c r="D666" i="1"/>
  <c r="G666" i="1" s="1"/>
  <c r="D667" i="1"/>
  <c r="G667" i="1" s="1"/>
  <c r="D668" i="1"/>
  <c r="G668" i="1" s="1"/>
  <c r="D669" i="1"/>
  <c r="G669" i="1" s="1"/>
  <c r="D670" i="1"/>
  <c r="G670" i="1" s="1"/>
  <c r="D671" i="1"/>
  <c r="G671" i="1" s="1"/>
  <c r="D672" i="1"/>
  <c r="G672" i="1" s="1"/>
  <c r="D673" i="1"/>
  <c r="G673" i="1" s="1"/>
  <c r="D674" i="1"/>
  <c r="G674" i="1" s="1"/>
  <c r="D675" i="1"/>
  <c r="G675" i="1" s="1"/>
  <c r="D676" i="1"/>
  <c r="G676" i="1" s="1"/>
  <c r="D677" i="1"/>
  <c r="G677" i="1" s="1"/>
  <c r="D678" i="1"/>
  <c r="G678" i="1" s="1"/>
  <c r="D679" i="1"/>
  <c r="G679" i="1" s="1"/>
  <c r="D680" i="1"/>
  <c r="G680" i="1" s="1"/>
  <c r="D681" i="1"/>
  <c r="G681" i="1" s="1"/>
  <c r="D682" i="1"/>
  <c r="G682" i="1" s="1"/>
  <c r="D683" i="1"/>
  <c r="G683" i="1" s="1"/>
  <c r="D684" i="1"/>
  <c r="G684" i="1" s="1"/>
  <c r="D685" i="1"/>
  <c r="G685" i="1" s="1"/>
  <c r="D686" i="1"/>
  <c r="G686" i="1" s="1"/>
  <c r="D687" i="1"/>
  <c r="G687" i="1" s="1"/>
  <c r="D688" i="1"/>
  <c r="G688" i="1" s="1"/>
  <c r="D689" i="1"/>
  <c r="G689" i="1" s="1"/>
  <c r="D690" i="1"/>
  <c r="G690" i="1" s="1"/>
  <c r="D691" i="1"/>
  <c r="G691" i="1" s="1"/>
  <c r="D692" i="1"/>
  <c r="D693" i="1"/>
  <c r="D694" i="1"/>
  <c r="D695" i="1"/>
  <c r="G695" i="1" s="1"/>
  <c r="D696" i="1"/>
  <c r="G696" i="1" s="1"/>
  <c r="D697" i="1"/>
  <c r="G697" i="1" s="1"/>
  <c r="D698" i="1"/>
  <c r="G698" i="1" s="1"/>
  <c r="D699" i="1"/>
  <c r="G699" i="1" s="1"/>
  <c r="D700" i="1"/>
  <c r="G700" i="1" s="1"/>
  <c r="D701" i="1"/>
  <c r="G701" i="1" s="1"/>
  <c r="D702" i="1"/>
  <c r="G702" i="1" s="1"/>
  <c r="D703" i="1"/>
  <c r="G703" i="1" s="1"/>
  <c r="D704" i="1"/>
  <c r="G704" i="1" s="1"/>
  <c r="D705" i="1"/>
  <c r="G705" i="1" s="1"/>
  <c r="D706" i="1"/>
  <c r="G706" i="1" s="1"/>
  <c r="D707" i="1"/>
  <c r="G707" i="1" s="1"/>
  <c r="D708" i="1"/>
  <c r="D709" i="1"/>
  <c r="D710" i="1"/>
  <c r="D711" i="1"/>
  <c r="G711" i="1" s="1"/>
  <c r="D712" i="1"/>
  <c r="G712" i="1" s="1"/>
  <c r="D713" i="1"/>
  <c r="G713" i="1" s="1"/>
  <c r="D714" i="1"/>
  <c r="G714" i="1" s="1"/>
  <c r="D715" i="1"/>
  <c r="G715" i="1" s="1"/>
  <c r="D716" i="1"/>
  <c r="G716" i="1" s="1"/>
  <c r="D717" i="1"/>
  <c r="G717" i="1" s="1"/>
  <c r="D718" i="1"/>
  <c r="G718" i="1" s="1"/>
  <c r="D719" i="1"/>
  <c r="G719" i="1" s="1"/>
  <c r="D720" i="1"/>
  <c r="G720" i="1" s="1"/>
  <c r="D721" i="1"/>
  <c r="G721" i="1" s="1"/>
  <c r="D722" i="1"/>
  <c r="G722" i="1" s="1"/>
  <c r="D723" i="1"/>
  <c r="G723" i="1" s="1"/>
  <c r="D724" i="1"/>
  <c r="D725" i="1"/>
  <c r="D726" i="1"/>
  <c r="D727" i="1"/>
  <c r="G727" i="1" s="1"/>
  <c r="D728" i="1"/>
  <c r="G728" i="1" s="1"/>
  <c r="D729" i="1"/>
  <c r="G729" i="1" s="1"/>
  <c r="D730" i="1"/>
  <c r="G730" i="1" s="1"/>
  <c r="D731" i="1"/>
  <c r="G731" i="1" s="1"/>
  <c r="D732" i="1"/>
  <c r="G732" i="1" s="1"/>
  <c r="D733" i="1"/>
  <c r="G733" i="1" s="1"/>
  <c r="D734" i="1"/>
  <c r="G734" i="1" s="1"/>
  <c r="D735" i="1"/>
  <c r="G735" i="1" s="1"/>
  <c r="D736" i="1"/>
  <c r="G736" i="1" s="1"/>
  <c r="D737" i="1"/>
  <c r="G737" i="1" s="1"/>
  <c r="D738" i="1"/>
  <c r="G738" i="1" s="1"/>
  <c r="D739" i="1"/>
  <c r="G739" i="1" s="1"/>
  <c r="D740" i="1"/>
  <c r="D741" i="1"/>
  <c r="D742" i="1"/>
  <c r="D743" i="1"/>
  <c r="G743" i="1" s="1"/>
  <c r="D744" i="1"/>
  <c r="G744" i="1" s="1"/>
  <c r="D745" i="1"/>
  <c r="G745" i="1" s="1"/>
  <c r="D746" i="1"/>
  <c r="G746" i="1" s="1"/>
  <c r="D747" i="1"/>
  <c r="G747" i="1" s="1"/>
  <c r="D748" i="1"/>
  <c r="G748" i="1" s="1"/>
  <c r="D749" i="1"/>
  <c r="G749" i="1" s="1"/>
  <c r="D750" i="1"/>
  <c r="G750" i="1" s="1"/>
  <c r="D751" i="1"/>
  <c r="G751" i="1" s="1"/>
  <c r="D752" i="1"/>
  <c r="G752" i="1" s="1"/>
  <c r="D753" i="1"/>
  <c r="G753" i="1" s="1"/>
  <c r="D754" i="1"/>
  <c r="G754" i="1" s="1"/>
  <c r="D755" i="1"/>
  <c r="G755" i="1" s="1"/>
  <c r="D756" i="1"/>
  <c r="D757" i="1"/>
  <c r="D758" i="1"/>
  <c r="D759" i="1"/>
  <c r="G759" i="1" s="1"/>
  <c r="D760" i="1"/>
  <c r="G760" i="1" s="1"/>
  <c r="D761" i="1"/>
  <c r="G761" i="1" s="1"/>
  <c r="D762" i="1"/>
  <c r="G762" i="1" s="1"/>
  <c r="D763" i="1"/>
  <c r="G763" i="1" s="1"/>
  <c r="D764" i="1"/>
  <c r="G764" i="1" s="1"/>
  <c r="D765" i="1"/>
  <c r="G765" i="1" s="1"/>
  <c r="D766" i="1"/>
  <c r="G766" i="1" s="1"/>
  <c r="D767" i="1"/>
  <c r="G767" i="1" s="1"/>
  <c r="D768" i="1"/>
  <c r="G768" i="1" s="1"/>
  <c r="D769" i="1"/>
  <c r="G769" i="1" s="1"/>
  <c r="D770" i="1"/>
  <c r="G770" i="1" s="1"/>
  <c r="D771" i="1"/>
  <c r="G771" i="1" s="1"/>
  <c r="D772" i="1"/>
  <c r="D773" i="1"/>
  <c r="D774" i="1"/>
  <c r="D775" i="1"/>
  <c r="G775" i="1" s="1"/>
  <c r="D776" i="1"/>
  <c r="G776" i="1" s="1"/>
  <c r="D777" i="1"/>
  <c r="G777" i="1" s="1"/>
  <c r="D778" i="1"/>
  <c r="G778" i="1" s="1"/>
  <c r="D779" i="1"/>
  <c r="G779" i="1" s="1"/>
  <c r="D780" i="1"/>
  <c r="G780" i="1" s="1"/>
  <c r="D781" i="1"/>
  <c r="G781" i="1" s="1"/>
  <c r="D782" i="1"/>
  <c r="G782" i="1" s="1"/>
  <c r="D783" i="1"/>
  <c r="G783" i="1" s="1"/>
  <c r="D784" i="1"/>
  <c r="G784" i="1" s="1"/>
  <c r="D785" i="1"/>
  <c r="G785" i="1" s="1"/>
  <c r="D786" i="1"/>
  <c r="G786" i="1" s="1"/>
  <c r="D787" i="1"/>
  <c r="G787" i="1" s="1"/>
  <c r="D788" i="1"/>
  <c r="D789" i="1"/>
  <c r="D790" i="1"/>
  <c r="D791" i="1"/>
  <c r="G791" i="1" s="1"/>
  <c r="D792" i="1"/>
  <c r="G792" i="1" s="1"/>
  <c r="D793" i="1"/>
  <c r="G793" i="1" s="1"/>
  <c r="D794" i="1"/>
  <c r="G794" i="1" s="1"/>
  <c r="D795" i="1"/>
  <c r="G795" i="1" s="1"/>
  <c r="D796" i="1"/>
  <c r="G796" i="1" s="1"/>
  <c r="D797" i="1"/>
  <c r="G797" i="1" s="1"/>
  <c r="D798" i="1"/>
  <c r="G798" i="1" s="1"/>
  <c r="D799" i="1"/>
  <c r="G799" i="1" s="1"/>
  <c r="D800" i="1"/>
  <c r="G800" i="1" s="1"/>
  <c r="D801" i="1"/>
  <c r="G801" i="1" s="1"/>
  <c r="D802" i="1"/>
  <c r="G802" i="1" s="1"/>
  <c r="D803" i="1"/>
  <c r="G803" i="1" s="1"/>
  <c r="D804" i="1"/>
  <c r="D805" i="1"/>
  <c r="D806" i="1"/>
  <c r="D807" i="1"/>
  <c r="G807" i="1" s="1"/>
  <c r="D808" i="1"/>
  <c r="G808" i="1" s="1"/>
  <c r="D809" i="1"/>
  <c r="G809" i="1" s="1"/>
  <c r="D810" i="1"/>
  <c r="G810" i="1" s="1"/>
  <c r="D811" i="1"/>
  <c r="G811" i="1" s="1"/>
  <c r="D812" i="1"/>
  <c r="G812" i="1" s="1"/>
  <c r="D813" i="1"/>
  <c r="G813" i="1" s="1"/>
  <c r="D814" i="1"/>
  <c r="G814" i="1" s="1"/>
  <c r="D815" i="1"/>
  <c r="G815" i="1" s="1"/>
  <c r="D816" i="1"/>
  <c r="G816" i="1" s="1"/>
  <c r="D817" i="1"/>
  <c r="G817" i="1" s="1"/>
  <c r="D818" i="1"/>
  <c r="G818" i="1" s="1"/>
  <c r="D819" i="1"/>
  <c r="G819" i="1" s="1"/>
  <c r="D820" i="1"/>
  <c r="D821" i="1"/>
  <c r="D822" i="1"/>
  <c r="D823" i="1"/>
  <c r="G823" i="1" s="1"/>
  <c r="D824" i="1"/>
  <c r="G824" i="1" s="1"/>
  <c r="D825" i="1"/>
  <c r="G825" i="1" s="1"/>
  <c r="D826" i="1"/>
  <c r="G826" i="1" s="1"/>
  <c r="D827" i="1"/>
  <c r="G827" i="1" s="1"/>
  <c r="D828" i="1"/>
  <c r="G828" i="1" s="1"/>
  <c r="D829" i="1"/>
  <c r="G829" i="1" s="1"/>
  <c r="D830" i="1"/>
  <c r="G830" i="1" s="1"/>
  <c r="D831" i="1"/>
  <c r="G831" i="1" s="1"/>
  <c r="D832" i="1"/>
  <c r="G832" i="1" s="1"/>
  <c r="D833" i="1"/>
  <c r="G833" i="1" s="1"/>
  <c r="D834" i="1"/>
  <c r="G834" i="1" s="1"/>
  <c r="D835" i="1"/>
  <c r="G835" i="1" s="1"/>
  <c r="D836" i="1"/>
  <c r="D837" i="1"/>
  <c r="D838" i="1"/>
  <c r="D839" i="1"/>
  <c r="G839" i="1" s="1"/>
  <c r="D840" i="1"/>
  <c r="G840" i="1" s="1"/>
  <c r="D841" i="1"/>
  <c r="G841" i="1" s="1"/>
  <c r="D842" i="1"/>
  <c r="G842" i="1" s="1"/>
  <c r="D843" i="1"/>
  <c r="G843" i="1" s="1"/>
  <c r="D844" i="1"/>
  <c r="G844" i="1" s="1"/>
  <c r="D845" i="1"/>
  <c r="G845" i="1" s="1"/>
  <c r="D846" i="1"/>
  <c r="G846" i="1" s="1"/>
  <c r="D847" i="1"/>
  <c r="G847" i="1" s="1"/>
  <c r="D848" i="1"/>
  <c r="G848" i="1" s="1"/>
  <c r="D849" i="1"/>
  <c r="G849" i="1" s="1"/>
  <c r="D850" i="1"/>
  <c r="G850" i="1" s="1"/>
  <c r="D851" i="1"/>
  <c r="G851" i="1" s="1"/>
  <c r="D852" i="1"/>
  <c r="D853" i="1"/>
  <c r="D854" i="1"/>
  <c r="D855" i="1"/>
  <c r="G855" i="1" s="1"/>
  <c r="D856" i="1"/>
  <c r="G856" i="1" s="1"/>
  <c r="D857" i="1"/>
  <c r="G857" i="1" s="1"/>
  <c r="D858" i="1"/>
  <c r="G858" i="1" s="1"/>
  <c r="D859" i="1"/>
  <c r="G859" i="1" s="1"/>
  <c r="D860" i="1"/>
  <c r="G860" i="1" s="1"/>
  <c r="D861" i="1"/>
  <c r="G861" i="1" s="1"/>
  <c r="D862" i="1"/>
  <c r="G862" i="1" s="1"/>
  <c r="D863" i="1"/>
  <c r="G863" i="1" s="1"/>
  <c r="D864" i="1"/>
  <c r="G864" i="1" s="1"/>
  <c r="D865" i="1"/>
  <c r="G865" i="1" s="1"/>
  <c r="D866" i="1"/>
  <c r="G866" i="1" s="1"/>
  <c r="D867" i="1"/>
  <c r="G867" i="1" s="1"/>
  <c r="D868" i="1"/>
  <c r="D869" i="1"/>
  <c r="D870" i="1"/>
  <c r="D871" i="1"/>
  <c r="G871" i="1" s="1"/>
  <c r="D872" i="1"/>
  <c r="G872" i="1" s="1"/>
  <c r="D873" i="1"/>
  <c r="G873" i="1" s="1"/>
  <c r="D874" i="1"/>
  <c r="G874" i="1" s="1"/>
  <c r="D875" i="1"/>
  <c r="G875" i="1" s="1"/>
  <c r="D876" i="1"/>
  <c r="G876" i="1" s="1"/>
  <c r="D877" i="1"/>
  <c r="G877" i="1" s="1"/>
  <c r="D878" i="1"/>
  <c r="G878" i="1" s="1"/>
  <c r="D879" i="1"/>
  <c r="G879" i="1" s="1"/>
  <c r="D880" i="1"/>
  <c r="G880" i="1" s="1"/>
  <c r="D881" i="1"/>
  <c r="G881" i="1" s="1"/>
  <c r="D882" i="1"/>
  <c r="G882" i="1" s="1"/>
  <c r="D883" i="1"/>
  <c r="G883" i="1" s="1"/>
  <c r="D884" i="1"/>
  <c r="D885" i="1"/>
  <c r="D886" i="1"/>
  <c r="D887" i="1"/>
  <c r="G887" i="1" s="1"/>
  <c r="D888" i="1"/>
  <c r="G888" i="1" s="1"/>
  <c r="D889" i="1"/>
  <c r="G889" i="1" s="1"/>
  <c r="D890" i="1"/>
  <c r="G890" i="1" s="1"/>
  <c r="D891" i="1"/>
  <c r="G891" i="1" s="1"/>
  <c r="D892" i="1"/>
  <c r="G892" i="1" s="1"/>
  <c r="D893" i="1"/>
  <c r="G893" i="1" s="1"/>
  <c r="D894" i="1"/>
  <c r="G894" i="1" s="1"/>
  <c r="D895" i="1"/>
  <c r="G895" i="1" s="1"/>
  <c r="D896" i="1"/>
  <c r="G896" i="1" s="1"/>
  <c r="D897" i="1"/>
  <c r="G897" i="1" s="1"/>
  <c r="D898" i="1"/>
  <c r="G898" i="1" s="1"/>
  <c r="D899" i="1"/>
  <c r="G899" i="1" s="1"/>
  <c r="D900" i="1"/>
  <c r="D901" i="1"/>
  <c r="D902" i="1"/>
  <c r="D903" i="1"/>
  <c r="G903" i="1" s="1"/>
  <c r="D904" i="1"/>
  <c r="G904" i="1" s="1"/>
  <c r="D905" i="1"/>
  <c r="G905" i="1" s="1"/>
  <c r="D906" i="1"/>
  <c r="G906" i="1" s="1"/>
  <c r="D907" i="1"/>
  <c r="G907" i="1" s="1"/>
  <c r="D908" i="1"/>
  <c r="G908" i="1" s="1"/>
  <c r="D909" i="1"/>
  <c r="G909" i="1" s="1"/>
  <c r="D910" i="1"/>
  <c r="G910" i="1" s="1"/>
  <c r="D911" i="1"/>
  <c r="G911" i="1" s="1"/>
  <c r="D912" i="1"/>
  <c r="G912" i="1" s="1"/>
  <c r="D913" i="1"/>
  <c r="G913" i="1" s="1"/>
  <c r="D914" i="1"/>
  <c r="G914" i="1" s="1"/>
  <c r="D915" i="1"/>
  <c r="G915" i="1" s="1"/>
  <c r="D916" i="1"/>
  <c r="D917" i="1"/>
  <c r="D918" i="1"/>
  <c r="D919" i="1"/>
  <c r="G919" i="1" s="1"/>
  <c r="D920" i="1"/>
  <c r="G920" i="1" s="1"/>
  <c r="D921" i="1"/>
  <c r="G921" i="1" s="1"/>
  <c r="D922" i="1"/>
  <c r="G922" i="1" s="1"/>
  <c r="D923" i="1"/>
  <c r="G923" i="1" s="1"/>
  <c r="D924" i="1"/>
  <c r="G924" i="1" s="1"/>
  <c r="D925" i="1"/>
  <c r="G925" i="1" s="1"/>
  <c r="D926" i="1"/>
  <c r="G926" i="1" s="1"/>
  <c r="D927" i="1"/>
  <c r="G927" i="1" s="1"/>
  <c r="D928" i="1"/>
  <c r="G928" i="1" s="1"/>
  <c r="D929" i="1"/>
  <c r="G929" i="1" s="1"/>
  <c r="D930" i="1"/>
  <c r="G930" i="1" s="1"/>
  <c r="D931" i="1"/>
  <c r="G931" i="1" s="1"/>
  <c r="D932" i="1"/>
  <c r="D933" i="1"/>
  <c r="D934" i="1"/>
  <c r="D935" i="1"/>
  <c r="G935" i="1" s="1"/>
  <c r="D936" i="1"/>
  <c r="G936" i="1" s="1"/>
  <c r="D937" i="1"/>
  <c r="G937" i="1" s="1"/>
  <c r="D938" i="1"/>
  <c r="G938" i="1" s="1"/>
  <c r="D939" i="1"/>
  <c r="G939" i="1" s="1"/>
  <c r="D940" i="1"/>
  <c r="G940" i="1" s="1"/>
  <c r="D941" i="1"/>
  <c r="G941" i="1" s="1"/>
  <c r="D942" i="1"/>
  <c r="G942" i="1" s="1"/>
  <c r="D943" i="1"/>
  <c r="G943" i="1" s="1"/>
  <c r="D944" i="1"/>
  <c r="G944" i="1" s="1"/>
  <c r="D945" i="1"/>
  <c r="G945" i="1" s="1"/>
  <c r="D946" i="1"/>
  <c r="G946" i="1" s="1"/>
  <c r="D947" i="1"/>
  <c r="G947" i="1" s="1"/>
  <c r="D948" i="1"/>
  <c r="D949" i="1"/>
  <c r="D950" i="1"/>
  <c r="D951" i="1"/>
  <c r="G951" i="1" s="1"/>
  <c r="D952" i="1"/>
  <c r="G952" i="1" s="1"/>
  <c r="D953" i="1"/>
  <c r="G953" i="1" s="1"/>
  <c r="D954" i="1"/>
  <c r="G954" i="1" s="1"/>
  <c r="D955" i="1"/>
  <c r="G955" i="1" s="1"/>
  <c r="D956" i="1"/>
  <c r="G956" i="1" s="1"/>
  <c r="D957" i="1"/>
  <c r="G957" i="1" s="1"/>
  <c r="D958" i="1"/>
  <c r="G958" i="1" s="1"/>
  <c r="D959" i="1"/>
  <c r="G959" i="1" s="1"/>
  <c r="D960" i="1"/>
  <c r="G960" i="1" s="1"/>
  <c r="D961" i="1"/>
  <c r="G961" i="1" s="1"/>
  <c r="D962" i="1"/>
  <c r="G962" i="1" s="1"/>
  <c r="D963" i="1"/>
  <c r="G963" i="1" s="1"/>
  <c r="D964" i="1"/>
  <c r="D965" i="1"/>
  <c r="D966" i="1"/>
  <c r="D967" i="1"/>
  <c r="G967" i="1" s="1"/>
  <c r="D968" i="1"/>
  <c r="G968" i="1" s="1"/>
  <c r="D969" i="1"/>
  <c r="G969" i="1" s="1"/>
  <c r="D970" i="1"/>
  <c r="G970" i="1" s="1"/>
  <c r="D971" i="1"/>
  <c r="G971" i="1" s="1"/>
  <c r="D972" i="1"/>
  <c r="G972" i="1" s="1"/>
  <c r="D973" i="1"/>
  <c r="G973" i="1" s="1"/>
  <c r="D974" i="1"/>
  <c r="G974" i="1" s="1"/>
  <c r="D975" i="1"/>
  <c r="G975" i="1" s="1"/>
  <c r="D976" i="1"/>
  <c r="G976" i="1" s="1"/>
  <c r="D977" i="1"/>
  <c r="G977" i="1" s="1"/>
  <c r="D978" i="1"/>
  <c r="G978" i="1" s="1"/>
  <c r="D979" i="1"/>
  <c r="G979" i="1" s="1"/>
  <c r="D980" i="1"/>
  <c r="D981" i="1"/>
  <c r="D982" i="1"/>
  <c r="D983" i="1"/>
  <c r="G983" i="1" s="1"/>
  <c r="D984" i="1"/>
  <c r="G984" i="1" s="1"/>
  <c r="D985" i="1"/>
  <c r="G985" i="1" s="1"/>
  <c r="D986" i="1"/>
  <c r="G986" i="1" s="1"/>
  <c r="D987" i="1"/>
  <c r="G987" i="1" s="1"/>
  <c r="D988" i="1"/>
  <c r="G988" i="1" s="1"/>
  <c r="D989" i="1"/>
  <c r="G989" i="1" s="1"/>
  <c r="D990" i="1"/>
  <c r="G990" i="1" s="1"/>
  <c r="D991" i="1"/>
  <c r="G991" i="1" s="1"/>
  <c r="D992" i="1"/>
  <c r="G992" i="1" s="1"/>
  <c r="D993" i="1"/>
  <c r="G993" i="1" s="1"/>
  <c r="D994" i="1"/>
  <c r="G994" i="1" s="1"/>
  <c r="D995" i="1"/>
  <c r="G995" i="1" s="1"/>
  <c r="D996" i="1"/>
  <c r="D997" i="1"/>
  <c r="D998" i="1"/>
  <c r="D999" i="1"/>
  <c r="G999" i="1" s="1"/>
  <c r="D1000" i="1"/>
  <c r="G1000" i="1" s="1"/>
  <c r="D1001" i="1"/>
  <c r="G1001" i="1" s="1"/>
  <c r="D1002" i="1"/>
  <c r="G1002" i="1" s="1"/>
  <c r="D1003" i="1"/>
  <c r="G1003" i="1" s="1"/>
  <c r="D1004" i="1"/>
  <c r="G1004" i="1" s="1"/>
  <c r="D1005" i="1"/>
  <c r="G1005" i="1" s="1"/>
  <c r="D1006" i="1"/>
  <c r="G1006" i="1" s="1"/>
  <c r="D1007" i="1"/>
  <c r="G1007" i="1" s="1"/>
  <c r="D1008" i="1"/>
  <c r="G1008" i="1" s="1"/>
  <c r="D1009" i="1"/>
  <c r="G1009" i="1" s="1"/>
  <c r="D1010" i="1"/>
  <c r="G1010" i="1" s="1"/>
  <c r="D1011" i="1"/>
  <c r="G1011" i="1" s="1"/>
  <c r="D1012" i="1"/>
  <c r="D1013" i="1"/>
  <c r="D1014" i="1"/>
  <c r="D1015" i="1"/>
  <c r="G1015" i="1" s="1"/>
  <c r="D1016" i="1"/>
  <c r="G1016" i="1" s="1"/>
  <c r="D1017" i="1"/>
  <c r="G1017" i="1" s="1"/>
  <c r="D1018" i="1"/>
  <c r="G1018" i="1" s="1"/>
  <c r="D1019" i="1"/>
  <c r="G1019" i="1" s="1"/>
  <c r="D1020" i="1"/>
  <c r="G1020" i="1" s="1"/>
  <c r="D1021" i="1"/>
  <c r="G1021" i="1" s="1"/>
  <c r="D1022" i="1"/>
  <c r="G1022" i="1" s="1"/>
  <c r="D1023" i="1"/>
  <c r="G1023" i="1" s="1"/>
  <c r="D1024" i="1"/>
  <c r="G1024" i="1" s="1"/>
  <c r="D1025" i="1"/>
  <c r="G1025" i="1" s="1"/>
  <c r="D1026" i="1"/>
  <c r="G1026" i="1" s="1"/>
  <c r="D1027" i="1"/>
  <c r="D1028" i="1"/>
  <c r="D1029" i="1"/>
  <c r="D1030" i="1"/>
  <c r="G1030" i="1" s="1"/>
  <c r="D1031" i="1"/>
  <c r="G1031" i="1" s="1"/>
  <c r="D1032" i="1"/>
  <c r="G1032" i="1" s="1"/>
  <c r="D1033" i="1"/>
  <c r="G1033" i="1" s="1"/>
  <c r="D1034" i="1"/>
  <c r="G1034" i="1" s="1"/>
  <c r="D1035" i="1"/>
  <c r="G1035" i="1" s="1"/>
  <c r="D1036" i="1"/>
  <c r="G1036" i="1" s="1"/>
  <c r="D1037" i="1"/>
  <c r="G1037" i="1" s="1"/>
  <c r="D1038" i="1"/>
  <c r="D1039" i="1"/>
  <c r="D1040" i="1"/>
  <c r="G1040" i="1" s="1"/>
  <c r="D1041" i="1"/>
  <c r="G1041" i="1" s="1"/>
  <c r="D1042" i="1"/>
  <c r="G1042" i="1" s="1"/>
  <c r="D1043" i="1"/>
  <c r="G1043" i="1" s="1"/>
  <c r="D1044" i="1"/>
  <c r="G1044" i="1" s="1"/>
  <c r="D1045" i="1"/>
  <c r="G1045" i="1" s="1"/>
  <c r="D1046" i="1"/>
  <c r="G1046" i="1" s="1"/>
  <c r="D1047" i="1"/>
  <c r="G1047" i="1" s="1"/>
  <c r="D1048" i="1"/>
  <c r="G1048" i="1" s="1"/>
  <c r="D1049" i="1"/>
  <c r="G1049" i="1" s="1"/>
  <c r="D1050" i="1"/>
  <c r="G1050" i="1" s="1"/>
  <c r="D1051" i="1"/>
  <c r="D1052" i="1"/>
  <c r="D1053" i="1"/>
  <c r="G1053" i="1" s="1"/>
  <c r="D1054" i="1"/>
  <c r="G1054" i="1" s="1"/>
  <c r="D1055" i="1"/>
  <c r="G1055" i="1" s="1"/>
  <c r="D1056" i="1"/>
  <c r="G1056" i="1" s="1"/>
  <c r="D1057" i="1"/>
  <c r="G1057" i="1" s="1"/>
  <c r="D1058" i="1"/>
  <c r="G1058" i="1" s="1"/>
  <c r="D1059" i="1"/>
  <c r="G1059" i="1" s="1"/>
  <c r="D1060" i="1"/>
  <c r="D1061" i="1"/>
  <c r="D1062" i="1"/>
  <c r="D1063" i="1"/>
  <c r="G1063" i="1" s="1"/>
  <c r="D1064" i="1"/>
  <c r="G1064" i="1" s="1"/>
  <c r="D1065" i="1"/>
  <c r="G1065" i="1" s="1"/>
  <c r="D1066" i="1"/>
  <c r="G1066" i="1" s="1"/>
  <c r="D1067" i="1"/>
  <c r="G1067" i="1" s="1"/>
  <c r="D1068" i="1"/>
  <c r="G1068" i="1" s="1"/>
  <c r="D1069" i="1"/>
  <c r="G1069" i="1" s="1"/>
  <c r="D1070" i="1"/>
  <c r="D1071" i="1"/>
  <c r="D1072" i="1"/>
  <c r="G1072" i="1" s="1"/>
  <c r="D1073" i="1"/>
  <c r="G1073" i="1" s="1"/>
  <c r="D1074" i="1"/>
  <c r="G1074" i="1" s="1"/>
  <c r="D1075" i="1"/>
  <c r="G1075" i="1" s="1"/>
  <c r="D1076" i="1"/>
  <c r="G1076" i="1" s="1"/>
  <c r="D1077" i="1"/>
  <c r="G1077" i="1" s="1"/>
  <c r="D1078" i="1"/>
  <c r="G1078" i="1" s="1"/>
  <c r="D1079" i="1"/>
  <c r="G1079" i="1" s="1"/>
  <c r="D1080" i="1"/>
  <c r="G1080" i="1" s="1"/>
  <c r="D1081" i="1"/>
  <c r="G1081" i="1" s="1"/>
  <c r="D1082" i="1"/>
  <c r="G1082" i="1" s="1"/>
  <c r="D1083" i="1"/>
  <c r="D1084" i="1"/>
  <c r="D1085" i="1"/>
  <c r="G1085" i="1" s="1"/>
  <c r="D1086" i="1"/>
  <c r="G1086" i="1" s="1"/>
  <c r="D1087" i="1"/>
  <c r="G1087" i="1" s="1"/>
  <c r="D1088" i="1"/>
  <c r="G1088" i="1" s="1"/>
  <c r="D1089" i="1"/>
  <c r="G1089" i="1" s="1"/>
  <c r="D1090" i="1"/>
  <c r="G1090" i="1" s="1"/>
  <c r="D1091" i="1"/>
  <c r="G1091" i="1" s="1"/>
  <c r="D1092" i="1"/>
  <c r="D1093" i="1"/>
  <c r="D1094" i="1"/>
  <c r="D1095" i="1"/>
  <c r="G1095" i="1" s="1"/>
  <c r="D1096" i="1"/>
  <c r="G1096" i="1" s="1"/>
  <c r="D1097" i="1"/>
  <c r="G1097" i="1" s="1"/>
  <c r="D1098" i="1"/>
  <c r="G1098" i="1" s="1"/>
  <c r="D1099" i="1"/>
  <c r="G1099" i="1" s="1"/>
  <c r="D1100" i="1"/>
  <c r="G1100" i="1" s="1"/>
  <c r="D1101" i="1"/>
  <c r="G1101" i="1" s="1"/>
  <c r="D1102" i="1"/>
  <c r="D1103" i="1"/>
  <c r="D1104" i="1"/>
  <c r="G1104" i="1" s="1"/>
  <c r="D1105" i="1"/>
  <c r="G1105" i="1" s="1"/>
  <c r="D1106" i="1"/>
  <c r="G1106" i="1" s="1"/>
  <c r="D1107" i="1"/>
  <c r="G1107" i="1" s="1"/>
  <c r="D1108" i="1"/>
  <c r="G1108" i="1" s="1"/>
  <c r="D1109" i="1"/>
  <c r="G1109" i="1" s="1"/>
  <c r="D1110" i="1"/>
  <c r="G1110" i="1" s="1"/>
  <c r="D1111" i="1"/>
  <c r="G1111" i="1" s="1"/>
  <c r="D1112" i="1"/>
  <c r="G1112" i="1" s="1"/>
  <c r="D1113" i="1"/>
  <c r="G1113" i="1" s="1"/>
  <c r="D1114" i="1"/>
  <c r="G1114" i="1" s="1"/>
  <c r="D1115" i="1"/>
  <c r="D1116" i="1"/>
  <c r="D1117" i="1"/>
  <c r="G1117" i="1" s="1"/>
  <c r="D1118" i="1"/>
  <c r="G1118" i="1" s="1"/>
  <c r="D1119" i="1"/>
  <c r="G1119" i="1" s="1"/>
  <c r="D1120" i="1"/>
  <c r="G1120" i="1" s="1"/>
  <c r="D1121" i="1"/>
  <c r="G1121" i="1" s="1"/>
  <c r="D1122" i="1"/>
  <c r="G1122" i="1" s="1"/>
  <c r="D1123" i="1"/>
  <c r="G1123" i="1" s="1"/>
  <c r="D1124" i="1"/>
  <c r="D1125" i="1"/>
  <c r="D1126" i="1"/>
  <c r="D1127" i="1"/>
  <c r="G1127" i="1" s="1"/>
  <c r="D1128" i="1"/>
  <c r="G1128" i="1" s="1"/>
  <c r="D1129" i="1"/>
  <c r="G1129" i="1" s="1"/>
  <c r="D1130" i="1"/>
  <c r="G1130" i="1" s="1"/>
  <c r="D1131" i="1"/>
  <c r="G1131" i="1" s="1"/>
  <c r="D1132" i="1"/>
  <c r="G1132" i="1" s="1"/>
  <c r="D1133" i="1"/>
  <c r="G1133" i="1" s="1"/>
  <c r="D1134" i="1"/>
  <c r="D1135" i="1"/>
  <c r="D1136" i="1"/>
  <c r="G1136" i="1" s="1"/>
  <c r="D1137" i="1"/>
  <c r="G1137" i="1" s="1"/>
  <c r="D1138" i="1"/>
  <c r="G1138" i="1" s="1"/>
  <c r="D1139" i="1"/>
  <c r="G1139" i="1" s="1"/>
  <c r="D1140" i="1"/>
  <c r="G1140" i="1" s="1"/>
  <c r="D1141" i="1"/>
  <c r="G1141" i="1" s="1"/>
  <c r="D1142" i="1"/>
  <c r="G1142" i="1" s="1"/>
  <c r="D1143" i="1"/>
  <c r="G1143" i="1" s="1"/>
  <c r="D1144" i="1"/>
  <c r="G1144" i="1" s="1"/>
  <c r="D1145" i="1"/>
  <c r="G1145" i="1" s="1"/>
  <c r="D1146" i="1"/>
  <c r="G1146" i="1" s="1"/>
  <c r="D1147" i="1"/>
  <c r="D1148" i="1"/>
  <c r="D1149" i="1"/>
  <c r="G1149" i="1" s="1"/>
  <c r="D1150" i="1"/>
  <c r="G1150" i="1" s="1"/>
  <c r="D1151" i="1"/>
  <c r="G1151" i="1" s="1"/>
  <c r="D1152" i="1"/>
  <c r="G1152" i="1" s="1"/>
  <c r="D1153" i="1"/>
  <c r="G1153" i="1" s="1"/>
  <c r="D1154" i="1"/>
  <c r="G1154" i="1" s="1"/>
  <c r="D1155" i="1"/>
  <c r="G1155" i="1" s="1"/>
  <c r="D1156" i="1"/>
  <c r="D1157" i="1"/>
  <c r="D1158" i="1"/>
  <c r="D1159" i="1"/>
  <c r="G1159" i="1" s="1"/>
  <c r="D1160" i="1"/>
  <c r="G1160" i="1" s="1"/>
  <c r="D1161" i="1"/>
  <c r="G1161" i="1" s="1"/>
  <c r="D1162" i="1"/>
  <c r="G1162" i="1" s="1"/>
  <c r="D1163" i="1"/>
  <c r="G1163" i="1" s="1"/>
  <c r="D1164" i="1"/>
  <c r="G1164" i="1" s="1"/>
  <c r="D2" i="1"/>
  <c r="G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2" i="1"/>
</calcChain>
</file>

<file path=xl/sharedStrings.xml><?xml version="1.0" encoding="utf-8"?>
<sst xmlns="http://schemas.openxmlformats.org/spreadsheetml/2006/main" count="3585" uniqueCount="753">
  <si>
    <t>Sector</t>
  </si>
  <si>
    <t>Source</t>
  </si>
  <si>
    <t>Production managers and directors in manufacturing</t>
  </si>
  <si>
    <t>Production managers and directors in construction</t>
  </si>
  <si>
    <t>Production managers and directors in mining and energy</t>
  </si>
  <si>
    <t>Financial managers and directors</t>
  </si>
  <si>
    <t>Public relations and communications directors</t>
  </si>
  <si>
    <t>Functional managers and directors n.e.c.</t>
  </si>
  <si>
    <t>Health services and public health managers and directors</t>
  </si>
  <si>
    <t>Social services managers and directors</t>
  </si>
  <si>
    <t>Managers and proprietors in agriculture and horticulture</t>
  </si>
  <si>
    <t>Health care practice managers</t>
  </si>
  <si>
    <t>Managers in logistics</t>
  </si>
  <si>
    <t>Chemical scientists</t>
  </si>
  <si>
    <t>Biological scientists</t>
  </si>
  <si>
    <t>Biochemists and biomedical scientists</t>
  </si>
  <si>
    <t>Physical scientists</t>
  </si>
  <si>
    <t>Social and humanities scientists</t>
  </si>
  <si>
    <t>Natural and social science professionals n.e.c.</t>
  </si>
  <si>
    <t>Civil engineers</t>
  </si>
  <si>
    <t>Mechanical engineers</t>
  </si>
  <si>
    <t>Electrical engineers</t>
  </si>
  <si>
    <t>Electronics engineers</t>
  </si>
  <si>
    <t>Production and process engineers</t>
  </si>
  <si>
    <t>Aerospace engineers</t>
  </si>
  <si>
    <t>Engineering project managers and project engineers</t>
  </si>
  <si>
    <t>Engineering professionals n.e.c.</t>
  </si>
  <si>
    <t>IT project managers</t>
  </si>
  <si>
    <t>IT managers</t>
  </si>
  <si>
    <t>IT business analysts, architects and systems designers</t>
  </si>
  <si>
    <t>Cyber security professionals</t>
  </si>
  <si>
    <t>IT quality and testing professionals</t>
  </si>
  <si>
    <t>IT network professionals</t>
  </si>
  <si>
    <t>Information technology professionals n.e.c.</t>
  </si>
  <si>
    <t>Conservation professionals</t>
  </si>
  <si>
    <t>Environment professionals</t>
  </si>
  <si>
    <t>Other researchers, unspecified discipline</t>
  </si>
  <si>
    <t>Generalist medical practitioners</t>
  </si>
  <si>
    <t>Specialist medical practitioners</t>
  </si>
  <si>
    <t>Physiotherapists</t>
  </si>
  <si>
    <t>Occupational therapists</t>
  </si>
  <si>
    <t>Speech and language therapists</t>
  </si>
  <si>
    <t>Psychotherapists and cognitive behaviour therapists</t>
  </si>
  <si>
    <t>Clinical psychologists</t>
  </si>
  <si>
    <t>Other psychologists</t>
  </si>
  <si>
    <t>Therapy professionals n.e.c.</t>
  </si>
  <si>
    <t>Midwifery nurses</t>
  </si>
  <si>
    <t>Veterinarians</t>
  </si>
  <si>
    <t>Pharmacists</t>
  </si>
  <si>
    <t>Optometrists</t>
  </si>
  <si>
    <t>Dental practitioners</t>
  </si>
  <si>
    <t>Medical radiographers</t>
  </si>
  <si>
    <t>Paramedics</t>
  </si>
  <si>
    <t>Podiatrists</t>
  </si>
  <si>
    <t>Other health professionals n.e.c.</t>
  </si>
  <si>
    <t>Higher education teaching professionals</t>
  </si>
  <si>
    <t>Secondary education teaching professionals</t>
  </si>
  <si>
    <t>Chartered and certified accountants</t>
  </si>
  <si>
    <t>Finance and investment analysts and advisers</t>
  </si>
  <si>
    <t>Taxation experts</t>
  </si>
  <si>
    <t>Management consultants and business analysts</t>
  </si>
  <si>
    <t>Actuaries, economists and statisticians</t>
  </si>
  <si>
    <t>Business and related research professionals</t>
  </si>
  <si>
    <t>Business, research and administrative professionals n.e.c.</t>
  </si>
  <si>
    <t>Business and financial project management professionals</t>
  </si>
  <si>
    <t>Architects</t>
  </si>
  <si>
    <t>Chartered architectural technologists, planning officers and consultants</t>
  </si>
  <si>
    <t>Quantity surveyors</t>
  </si>
  <si>
    <t>Chartered surveyors</t>
  </si>
  <si>
    <t>Construction project managers and related professionals</t>
  </si>
  <si>
    <t>Quality control and planning engineers</t>
  </si>
  <si>
    <t>Quality assurance and regulatory professionals</t>
  </si>
  <si>
    <t>Environmental health professionals</t>
  </si>
  <si>
    <t>Laboratory technicians</t>
  </si>
  <si>
    <t>Planning, process and production technicians</t>
  </si>
  <si>
    <t>Science, engineering and production technicians n.e.c.</t>
  </si>
  <si>
    <t>CAD, drawing and architectural technicians</t>
  </si>
  <si>
    <t>IT operations technicians</t>
  </si>
  <si>
    <t>IT user support technicians</t>
  </si>
  <si>
    <t>Database administrators and web content technicians</t>
  </si>
  <si>
    <t>Dispensing opticians</t>
  </si>
  <si>
    <t>Pharmaceutical technicians</t>
  </si>
  <si>
    <t>Medical and dental technicians</t>
  </si>
  <si>
    <t>Complementary health associate professionals</t>
  </si>
  <si>
    <t>Health associate professionals n.e.c.</t>
  </si>
  <si>
    <t>Brokers</t>
  </si>
  <si>
    <t>Insurance underwriters</t>
  </si>
  <si>
    <t>Financial and accounting technicians</t>
  </si>
  <si>
    <t>Estimators, valuers and assessors</t>
  </si>
  <si>
    <t>Importers and exporters</t>
  </si>
  <si>
    <t>Data analysts</t>
  </si>
  <si>
    <t>Business associate professionals n.e.c.</t>
  </si>
  <si>
    <t>Farmers</t>
  </si>
  <si>
    <t>Horticultural trades</t>
  </si>
  <si>
    <t>Sheet metal workers</t>
  </si>
  <si>
    <t>Metal plate workers, smiths, moulders and related occupations</t>
  </si>
  <si>
    <t>Welding trades</t>
  </si>
  <si>
    <t>Pipe fitters</t>
  </si>
  <si>
    <t>Metal machining setters and setter-operators</t>
  </si>
  <si>
    <t>Tool makers, tool fitters and markers-out</t>
  </si>
  <si>
    <t>Metal working production and maintenance fitters</t>
  </si>
  <si>
    <t>Precision instrument makers and repairers</t>
  </si>
  <si>
    <t>Air-conditioning and refrigeration installers and repairers</t>
  </si>
  <si>
    <t>Electricians and electrical fitters</t>
  </si>
  <si>
    <t>Telecoms and related network installers and repairers</t>
  </si>
  <si>
    <t>TV, video and audio servicers and repairers</t>
  </si>
  <si>
    <t>Computer system and equipment installers and servicers</t>
  </si>
  <si>
    <t>Security system installers and repairers</t>
  </si>
  <si>
    <t>Electrical service and maintenance mechanics and repairers</t>
  </si>
  <si>
    <t>Electrical and electronic trades n.e.c.</t>
  </si>
  <si>
    <t>Skilled metal, electrical and electronic trades supervisors</t>
  </si>
  <si>
    <t>Steel erectors</t>
  </si>
  <si>
    <t>Stonemasons and related trades</t>
  </si>
  <si>
    <t>Roofers, roof tilers and slaters</t>
  </si>
  <si>
    <t>Carpenters and joiners</t>
  </si>
  <si>
    <t>Glaziers, window fabricators and fitters</t>
  </si>
  <si>
    <t>Construction and building trades n.e.c.</t>
  </si>
  <si>
    <t>Construction and building trades supervisors</t>
  </si>
  <si>
    <t>Information technology and telecommunications directors</t>
  </si>
  <si>
    <t>Managers and directors in transport and distribution</t>
  </si>
  <si>
    <t>Residential, day and domiciliary  care managers and proprietors</t>
  </si>
  <si>
    <t>Garage managers and proprietors</t>
  </si>
  <si>
    <t>Design and development engineers</t>
  </si>
  <si>
    <t>IT specialist managers</t>
  </si>
  <si>
    <t>IT project and programme managers</t>
  </si>
  <si>
    <t>Programmers and software development professionals</t>
  </si>
  <si>
    <t>Web design and development professionals</t>
  </si>
  <si>
    <t>Information technology and telecommunications professionals n.e.c.</t>
  </si>
  <si>
    <t>Medical practitioners</t>
  </si>
  <si>
    <t>Ophthalmic opticians</t>
  </si>
  <si>
    <t>Health professionals n.e.c.</t>
  </si>
  <si>
    <t>Nurses</t>
  </si>
  <si>
    <t>Midwives</t>
  </si>
  <si>
    <t>Town planning officers</t>
  </si>
  <si>
    <t>Chartered architectural technologists</t>
  </si>
  <si>
    <t>Social workers</t>
  </si>
  <si>
    <t>Welfare professionals n.e.c.</t>
  </si>
  <si>
    <t>Electrical and electronics technicians</t>
  </si>
  <si>
    <t>Engineering technicians</t>
  </si>
  <si>
    <t>Building and civil engineering technicians</t>
  </si>
  <si>
    <t>Quality assurance technicians</t>
  </si>
  <si>
    <t>Architectural and town planning technicians</t>
  </si>
  <si>
    <t>Draughtspersons</t>
  </si>
  <si>
    <t>Youth and community workers</t>
  </si>
  <si>
    <t>Counsellors</t>
  </si>
  <si>
    <t>Air traffic controllers</t>
  </si>
  <si>
    <t>Aircraft pilots and flight engineers</t>
  </si>
  <si>
    <t>Ship and hovercraft officers</t>
  </si>
  <si>
    <t>Smiths and forge workers</t>
  </si>
  <si>
    <t>Moulders, core makers and die casters</t>
  </si>
  <si>
    <t>Metal plate workers, and riveters</t>
  </si>
  <si>
    <t>Air-conditioning and refrigeration engineers</t>
  </si>
  <si>
    <t>Vehicle technicians, mechanics and electricians</t>
  </si>
  <si>
    <t>Vehicle body builders and repairers</t>
  </si>
  <si>
    <t>Vehicle paint technicians</t>
  </si>
  <si>
    <t>Aircraft maintenance and related trades</t>
  </si>
  <si>
    <t>Boat and ship builders and repairers</t>
  </si>
  <si>
    <t>Rail and rolling stock builders and repairers</t>
  </si>
  <si>
    <t>Telecommunications engineers</t>
  </si>
  <si>
    <t>TV, video and audio engineers</t>
  </si>
  <si>
    <t>IT engineers</t>
  </si>
  <si>
    <t>Bricklayers and masons</t>
  </si>
  <si>
    <t>Plumbers and heating and ventilating engineers</t>
  </si>
  <si>
    <t>Plasterers</t>
  </si>
  <si>
    <t>Floorers and wall tilers</t>
  </si>
  <si>
    <t>Painters and decorators</t>
  </si>
  <si>
    <t>Weavers and knitters</t>
  </si>
  <si>
    <t>Upholsterers</t>
  </si>
  <si>
    <t>Footwear and leather working trades</t>
  </si>
  <si>
    <t>Tailors and dressmakers</t>
  </si>
  <si>
    <t>Textiles, garments and related trades n.e.c.</t>
  </si>
  <si>
    <t>Pre-press technicians</t>
  </si>
  <si>
    <t>Printers</t>
  </si>
  <si>
    <t>Print finishing and binding workers</t>
  </si>
  <si>
    <t>Butchers</t>
  </si>
  <si>
    <t>Bakers and flour confectioners</t>
  </si>
  <si>
    <t>Fishmongers and poultry dressers</t>
  </si>
  <si>
    <t>Glass and ceramics makers, decorators and finishers</t>
  </si>
  <si>
    <t>Furniture makers and other craft woodworkers</t>
  </si>
  <si>
    <t>Nursing auxiliaries and assistants</t>
  </si>
  <si>
    <t>Ambulance staff (excluding paramedics)</t>
  </si>
  <si>
    <t>Dental nurses</t>
  </si>
  <si>
    <t>Houseparents and residential wardens</t>
  </si>
  <si>
    <t>Care workers and home carers</t>
  </si>
  <si>
    <t>Senior care workers</t>
  </si>
  <si>
    <t>Care escorts</t>
  </si>
  <si>
    <t>Air travel assistants</t>
  </si>
  <si>
    <t>Rail travel assistants</t>
  </si>
  <si>
    <t>Pharmacy and other dispensing assistants</t>
  </si>
  <si>
    <t>Vehicle and parts salespersons and advisers</t>
  </si>
  <si>
    <t>Food, drink and tobacco process operatives</t>
  </si>
  <si>
    <t>Glass and ceramics process operatives</t>
  </si>
  <si>
    <t>Textile process operatives</t>
  </si>
  <si>
    <t>Chemical and related process operatives</t>
  </si>
  <si>
    <t>Rubber process operatives</t>
  </si>
  <si>
    <t>Plastics process operatives</t>
  </si>
  <si>
    <t>Metal making and treating process operatives</t>
  </si>
  <si>
    <t>Electroplaters</t>
  </si>
  <si>
    <t>Process operatives n.e.c.</t>
  </si>
  <si>
    <t>Paper and wood machine operatives</t>
  </si>
  <si>
    <t>Coal mine operatives</t>
  </si>
  <si>
    <t>Quarry workers and related operatives</t>
  </si>
  <si>
    <t>Energy plant operatives</t>
  </si>
  <si>
    <t>Metal working machine operatives</t>
  </si>
  <si>
    <t>Water and sewerage plant operatives</t>
  </si>
  <si>
    <t>Printing machine assistants</t>
  </si>
  <si>
    <t>Plant and machine operatives n.e.c.</t>
  </si>
  <si>
    <t>Assemblers (electrical and electronic products)</t>
  </si>
  <si>
    <t>Assemblers (vehicles and metal goods)</t>
  </si>
  <si>
    <t>Routine inspectors and testers</t>
  </si>
  <si>
    <t>Weighers, graders and sorters</t>
  </si>
  <si>
    <t>Tyre, exhaust and windscreen fitters</t>
  </si>
  <si>
    <t>Assemblers and routine operatives n.e.c.</t>
  </si>
  <si>
    <t>Scaffolders, stagers and riggers</t>
  </si>
  <si>
    <t>Road construction operatives</t>
  </si>
  <si>
    <t>Rail construction and maintenance operatives</t>
  </si>
  <si>
    <t>Construction operatives n.e.c.</t>
  </si>
  <si>
    <t>Large goods vehicle drivers</t>
  </si>
  <si>
    <t>Van drivers</t>
  </si>
  <si>
    <t>Bus and coach drivers</t>
  </si>
  <si>
    <t>Taxi and cab drivers and chauffeurs</t>
  </si>
  <si>
    <t>Driving instructors</t>
  </si>
  <si>
    <t>Crane drivers</t>
  </si>
  <si>
    <t>Fork-lift truck drivers</t>
  </si>
  <si>
    <t>Agricultural machinery drivers</t>
  </si>
  <si>
    <t>Mobile machine drivers and operatives n.e.c.</t>
  </si>
  <si>
    <t>Train and tram drivers</t>
  </si>
  <si>
    <t>Marine and waterways transport operatives</t>
  </si>
  <si>
    <t>Air transport operatives</t>
  </si>
  <si>
    <t>Rail transport operatives</t>
  </si>
  <si>
    <t>Other drivers and transport operatives n.e.c.</t>
  </si>
  <si>
    <t>Elementary construction occupations</t>
  </si>
  <si>
    <t>Packers, bottlers, canners and fillers</t>
  </si>
  <si>
    <t>Elementary process plant occupations n.e.c.</t>
  </si>
  <si>
    <t>Vehicle valeters and cleaners</t>
  </si>
  <si>
    <t>Hospital porters</t>
  </si>
  <si>
    <t>Manufacturing</t>
  </si>
  <si>
    <t>Construction</t>
  </si>
  <si>
    <t>Digital and technology</t>
  </si>
  <si>
    <t>Haulage and logistics</t>
  </si>
  <si>
    <t>Health and social care</t>
  </si>
  <si>
    <t>SDL List</t>
  </si>
  <si>
    <t>Refuse and salvage occupations</t>
  </si>
  <si>
    <t>Industrial cleaning process occupations</t>
  </si>
  <si>
    <t>Records clerks and assistants</t>
  </si>
  <si>
    <t>Sales accounts and business development managers</t>
  </si>
  <si>
    <t>Business and related associate professionals n.e.c.</t>
  </si>
  <si>
    <t>Public relations professionals</t>
  </si>
  <si>
    <t>Legal professionals n.e.c.</t>
  </si>
  <si>
    <t>Property, housing and estate managers</t>
  </si>
  <si>
    <t>Advertising and public relations directors</t>
  </si>
  <si>
    <t>Stock control clerks and assistants</t>
  </si>
  <si>
    <t>Research and development managers</t>
  </si>
  <si>
    <t>Other skilled trades n.e.c.</t>
  </si>
  <si>
    <t xml:space="preserve">Vehicle body builders and repairers </t>
  </si>
  <si>
    <t>Groundsmen and greenkeepers</t>
  </si>
  <si>
    <t>Fire service officers (watch manager and below)</t>
  </si>
  <si>
    <t>Transport and distribution clerks and assistants</t>
  </si>
  <si>
    <t>Protective service associate professionals n.e.c.</t>
  </si>
  <si>
    <t>Cleaning and housekeeping managers and supervisors</t>
  </si>
  <si>
    <t>Other administrative occupations n.e.c.</t>
  </si>
  <si>
    <t>Customer service occupations n.e.c.</t>
  </si>
  <si>
    <t>Sales and retail assistants</t>
  </si>
  <si>
    <t>Green</t>
  </si>
  <si>
    <t>Biological scientists and biochemists</t>
  </si>
  <si>
    <t>Psychologists</t>
  </si>
  <si>
    <t>SOCyear</t>
  </si>
  <si>
    <t>SOCcode</t>
  </si>
  <si>
    <t>SOCdesc</t>
  </si>
  <si>
    <t>Warehouse operatives</t>
  </si>
  <si>
    <t>Elementary construction occupations n.e.c.</t>
  </si>
  <si>
    <t>Other vocational and industrial trainers</t>
  </si>
  <si>
    <t>Design occupations n.e.c.</t>
  </si>
  <si>
    <t>Marketing and commercial managers</t>
  </si>
  <si>
    <t>Customer Service Supervisors</t>
  </si>
  <si>
    <t>Groundworkers</t>
  </si>
  <si>
    <t>Bricklayers</t>
  </si>
  <si>
    <t>Forestry and related workers</t>
  </si>
  <si>
    <t>Elementary storage occupations n.e.c.</t>
  </si>
  <si>
    <t>Managers in transport and distribution</t>
  </si>
  <si>
    <t>Graphic and multimedia designers</t>
  </si>
  <si>
    <t>Hire services managers and proprietors</t>
  </si>
  <si>
    <t>UFS Green list</t>
  </si>
  <si>
    <t>Elementary storage occupations</t>
  </si>
  <si>
    <t>Sales supervisors</t>
  </si>
  <si>
    <t>Health and safety officers</t>
  </si>
  <si>
    <t>Vocational and industrial trainers and instructors</t>
  </si>
  <si>
    <t>Buyers and procurement officers</t>
  </si>
  <si>
    <t>Product, clothing and related designers</t>
  </si>
  <si>
    <t>Waste disposal and environmental services managers</t>
  </si>
  <si>
    <t>Managers and directors in storage and warehousing</t>
  </si>
  <si>
    <t>Customer service managers and supervisors</t>
  </si>
  <si>
    <t>Forestry workers</t>
  </si>
  <si>
    <t>Graphic designers</t>
  </si>
  <si>
    <t>Managers and proprietors in other services n.e.c.</t>
  </si>
  <si>
    <t>Officers in armed forces</t>
  </si>
  <si>
    <t>Research and development (R&amp;D) managers</t>
  </si>
  <si>
    <t>Registered community nurses</t>
  </si>
  <si>
    <t>Registered specialist nurses</t>
  </si>
  <si>
    <t>Registered nurse practitioners</t>
  </si>
  <si>
    <t>Registered mental health nurses</t>
  </si>
  <si>
    <t>Registered children's nurses</t>
  </si>
  <si>
    <t>Other registered nursing professionals</t>
  </si>
  <si>
    <t>Further education teaching professionals</t>
  </si>
  <si>
    <t>Veterinary nurses</t>
  </si>
  <si>
    <t>Non-commissioned officers and other ranks</t>
  </si>
  <si>
    <t>Photographers, audio-visual and broadcasting equipment operators</t>
  </si>
  <si>
    <t>Fitness and wellbeing instructors</t>
  </si>
  <si>
    <t>Aircraft pilots and air traffic controllers</t>
  </si>
  <si>
    <t>Information technology trainers</t>
  </si>
  <si>
    <t>Inspectors of standards and regulations</t>
  </si>
  <si>
    <t>Health and safety managers and officers</t>
  </si>
  <si>
    <t>Credit controllers</t>
  </si>
  <si>
    <t>Book-keepers, payroll managers and wages clerks</t>
  </si>
  <si>
    <t>Finance officers</t>
  </si>
  <si>
    <t>Financial administrative occupations n.e.c.</t>
  </si>
  <si>
    <t>Plumbers and heating and ventilating installers and repairers</t>
  </si>
  <si>
    <t>Pest control officers</t>
  </si>
  <si>
    <t>Animal care services occupations n.e.c.</t>
  </si>
  <si>
    <t>Pharmacy and optical dispensing assistants</t>
  </si>
  <si>
    <t>Mining and quarry workers and related operatives</t>
  </si>
  <si>
    <t>Production, factory and assembly supervisors</t>
  </si>
  <si>
    <t>UFS-Royal Society</t>
  </si>
  <si>
    <t>NCOs and other ranks</t>
  </si>
  <si>
    <t>Fitness instructors</t>
  </si>
  <si>
    <t>SOC2020
Major Group</t>
  </si>
  <si>
    <t>SOC2020
Sub-Major Group</t>
  </si>
  <si>
    <t>SOC2020
Minor Group</t>
  </si>
  <si>
    <t>SOC2020 Unit Group</t>
  </si>
  <si>
    <t>SOC2020 Group Title</t>
  </si>
  <si>
    <t>Change</t>
  </si>
  <si>
    <t>Date</t>
  </si>
  <si>
    <t>MANAGERS, DIRECTORS AND SENIOR OFFICIALS</t>
  </si>
  <si>
    <t>CORPORATE MANAGERS AND DIRECTORS</t>
  </si>
  <si>
    <t>Chief Executives and Senior Officials</t>
  </si>
  <si>
    <t>Chief executives and senior officials</t>
  </si>
  <si>
    <t>Elected officers and representatives</t>
  </si>
  <si>
    <t>Production Managers and Directors</t>
  </si>
  <si>
    <t>Functional Managers and Directors</t>
  </si>
  <si>
    <t>Marketing, sales and advertising directors</t>
  </si>
  <si>
    <t>Purchasing managers and directors</t>
  </si>
  <si>
    <t>Charitable organisation managers and directors</t>
  </si>
  <si>
    <t>Human resource managers and directors</t>
  </si>
  <si>
    <t>Information technology managers directors</t>
  </si>
  <si>
    <t>Directors in Logistics, Warehousing and Transport</t>
  </si>
  <si>
    <t>Directors in logistics, warehousing and transport</t>
  </si>
  <si>
    <t>Managers and Directors in Retail and Wholesale</t>
  </si>
  <si>
    <t>Managers and directors in retail and wholesale</t>
  </si>
  <si>
    <t>Senior Officers in Protective Services</t>
  </si>
  <si>
    <t>Senior police officers</t>
  </si>
  <si>
    <t>Senior officers in fire, ambulance, prison and related services</t>
  </si>
  <si>
    <t>Health and Social Services Managers and Directors</t>
  </si>
  <si>
    <t>OTHER MANAGERS AND PROPRIETORS</t>
  </si>
  <si>
    <t>Managers and Proprietors in Agriculture Related Services</t>
  </si>
  <si>
    <t>Managers and proprietors in forestry, fishing and related services</t>
  </si>
  <si>
    <t>Managers and Proprietors in Hospitality and Leisure Services</t>
  </si>
  <si>
    <t>Hotel and accommodation managers and proprietors</t>
  </si>
  <si>
    <t>Restaurant and catering establishment managers and proprietors</t>
  </si>
  <si>
    <t>Publicans and managers of licensed premises</t>
  </si>
  <si>
    <t>Leisure and sports managers and proprietors</t>
  </si>
  <si>
    <t>Unit group name was Leisure and sports managers</t>
  </si>
  <si>
    <t>Travel agency managers and proprietors</t>
  </si>
  <si>
    <t>Managers and Proprietors in Health and Care Services</t>
  </si>
  <si>
    <t>Residential, day and domiciliary care managers and proprietors</t>
  </si>
  <si>
    <t>Early education and childcare services proprietors</t>
  </si>
  <si>
    <t>Managers in Logistics, Warehousing and Transport</t>
  </si>
  <si>
    <t>Managers in storage and warehousing</t>
  </si>
  <si>
    <t>Managers and Proprietors in Other Services</t>
  </si>
  <si>
    <t>Hairdressing and beauty salon managers and proprietors</t>
  </si>
  <si>
    <t>Managers and directors in the creative industries</t>
  </si>
  <si>
    <t>Betting shop and gambling establishment managers</t>
  </si>
  <si>
    <t>Directors in consultancy services</t>
  </si>
  <si>
    <t>PROFESSIONAL OCCUPATIONS</t>
  </si>
  <si>
    <t>SCIENCE, RESEARCH, ENGINEERING AND TECHNOLOGY PROFESSIONALS</t>
  </si>
  <si>
    <t>Natural and Social Science Professionals</t>
  </si>
  <si>
    <t>Engineering Professionals</t>
  </si>
  <si>
    <t>Information Technology Professionals</t>
  </si>
  <si>
    <t>Web and Multimedia Design Professionals</t>
  </si>
  <si>
    <t>Web design professionals</t>
  </si>
  <si>
    <t>Conservation and Environment Professionals</t>
  </si>
  <si>
    <t>Research and Development (R&amp;D) and Other Research Professionals</t>
  </si>
  <si>
    <t>HEALTH PROFESSIONALS</t>
  </si>
  <si>
    <t>Medical Practitioners</t>
  </si>
  <si>
    <t>Therapy Professionals</t>
  </si>
  <si>
    <t>Nursing Professionals</t>
  </si>
  <si>
    <t>Unit group name was Community nurses</t>
  </si>
  <si>
    <t>Unit group name was Specialist nurses</t>
  </si>
  <si>
    <t>Unit group name was Nurse practitioners</t>
  </si>
  <si>
    <t>Unit group name was Mental health nurses</t>
  </si>
  <si>
    <t>Unit group name was Children's nurses</t>
  </si>
  <si>
    <t xml:space="preserve">Unit group name was Other nursing professionals </t>
  </si>
  <si>
    <t>Other Health Professionals</t>
  </si>
  <si>
    <t>Unit group name was Ophthalmic opticians</t>
  </si>
  <si>
    <t>TEACHING AND OTHER EDUCATIONAL PROFESSIONALS</t>
  </si>
  <si>
    <t>Teaching Professionals</t>
  </si>
  <si>
    <t>Primary education teaching professionals</t>
  </si>
  <si>
    <t>Nursery education teaching professionals</t>
  </si>
  <si>
    <t>Special and additional needs education teaching professionals</t>
  </si>
  <si>
    <t>Unit group name was Special needs education teaching professionals</t>
  </si>
  <si>
    <t>Teachers of English as a foreign language</t>
  </si>
  <si>
    <t>Teaching professionals n.e.c.</t>
  </si>
  <si>
    <t>Other Educational Professionals</t>
  </si>
  <si>
    <t>Head teachers and principals</t>
  </si>
  <si>
    <t>Education managers</t>
  </si>
  <si>
    <t>Education advisers and school inspectors</t>
  </si>
  <si>
    <t>Early education and childcare services managers</t>
  </si>
  <si>
    <t>Other educational professionals n.e.c</t>
  </si>
  <si>
    <t>BUSINESS, MEDIA AND PUBLIC SERVICE PROFESSIONALS</t>
  </si>
  <si>
    <t>Legal Professionals</t>
  </si>
  <si>
    <t>Barristers and judges</t>
  </si>
  <si>
    <t>Solicitors and lawyers</t>
  </si>
  <si>
    <t>Finance Professionals</t>
  </si>
  <si>
    <t>Business, Research and Administrative Professionals</t>
  </si>
  <si>
    <t>Professional/Chartered company secretaries</t>
  </si>
  <si>
    <t>Business and Financial Project Management Professionals</t>
  </si>
  <si>
    <t>Architects, Chartered Architectural Technologists, Planning Officers, Surveyors and Construction Professionals</t>
  </si>
  <si>
    <t>Welfare Professionals</t>
  </si>
  <si>
    <t>Probation officers</t>
  </si>
  <si>
    <t>Clergy</t>
  </si>
  <si>
    <t>Youth work professionals</t>
  </si>
  <si>
    <t>Librarians and Related Professionals</t>
  </si>
  <si>
    <t>Librarians</t>
  </si>
  <si>
    <t>Archivists, conservators and curators</t>
  </si>
  <si>
    <t>Unit group name was Archivists and curators</t>
  </si>
  <si>
    <t>Quality and Regulatory Professionals</t>
  </si>
  <si>
    <t>Media Professionals</t>
  </si>
  <si>
    <t>Newspaper, periodical and broadcast editors</t>
  </si>
  <si>
    <t>Unit group name was Newspaper and periodical editors</t>
  </si>
  <si>
    <t>Newspaper and periodical broadcast journalists and reporters</t>
  </si>
  <si>
    <t>Unit group name was Newspaper and periodical journalists and reporters</t>
  </si>
  <si>
    <t>Advertising accounts managers and creative directors</t>
  </si>
  <si>
    <t>ASSOCIATE PROFESSIONAL OCCUPATIONS</t>
  </si>
  <si>
    <t>SCIENCE, ENGINEERING AND TECHNOLOGY ASSOCIATE PROFESSIONALS</t>
  </si>
  <si>
    <t>Science, Engineering and Production Technicians</t>
  </si>
  <si>
    <t>CAD, Drawing and Architectural Technicians</t>
  </si>
  <si>
    <t>Information Technology Technicians</t>
  </si>
  <si>
    <t>HEALTH AND SOCIAL CARE ASSOCIATE PROFESSIONALS</t>
  </si>
  <si>
    <t>Health Associate Professionals</t>
  </si>
  <si>
    <t>Welfare and Housing Associate Professionals</t>
  </si>
  <si>
    <t>Child and early years officers</t>
  </si>
  <si>
    <t>Housing officers</t>
  </si>
  <si>
    <t>Welfare and housing associate professionals n.e.c.</t>
  </si>
  <si>
    <t>Teaching and Childcare Associate Professionals</t>
  </si>
  <si>
    <t>Higher level teaching assistants</t>
  </si>
  <si>
    <t>Early education and childcare practitioners</t>
  </si>
  <si>
    <t>PROTECTIVE SERVICE OCCUPATIONS</t>
  </si>
  <si>
    <t>Protective Service Occupations</t>
  </si>
  <si>
    <t>Police officers (sergeant and below)</t>
  </si>
  <si>
    <t>Prison service officers (below principal officer)</t>
  </si>
  <si>
    <t>CULTURE, MEDIA AND SPORTS OCCUPATIONS</t>
  </si>
  <si>
    <t>Artistic, Literary and Media Occupations</t>
  </si>
  <si>
    <t>Artists</t>
  </si>
  <si>
    <t>Authors, writers and translators</t>
  </si>
  <si>
    <t>Actors, entertainers and presenters</t>
  </si>
  <si>
    <t>Dancers and choreographers</t>
  </si>
  <si>
    <t>Musicians</t>
  </si>
  <si>
    <t>Arts officers, producers and directors</t>
  </si>
  <si>
    <t xml:space="preserve">Design Occupations </t>
  </si>
  <si>
    <t>Interior designers</t>
  </si>
  <si>
    <t>Clothing, fashion and accessories designers</t>
  </si>
  <si>
    <t>Sports and Fitness Occupations</t>
  </si>
  <si>
    <t>Sports players</t>
  </si>
  <si>
    <t>Sports coaches, instructors and officials</t>
  </si>
  <si>
    <t>BUSINESS AND PUBLIC SERVICE ASSOCIATE PROFESSIONALS</t>
  </si>
  <si>
    <t>Transport Associate Professionals</t>
  </si>
  <si>
    <t>Legal Associate Professionals</t>
  </si>
  <si>
    <t>Legal associate professionals</t>
  </si>
  <si>
    <t>Finance Associate Professionals</t>
  </si>
  <si>
    <t>Financial accounts managers</t>
  </si>
  <si>
    <t>Business Associate Professionals</t>
  </si>
  <si>
    <t>Project support officers</t>
  </si>
  <si>
    <t>Sales, Marketing and Related Associate Professionals</t>
  </si>
  <si>
    <t>Business sales executives</t>
  </si>
  <si>
    <t>Merchandisers</t>
  </si>
  <si>
    <t>Advertising and marketing associate professionals</t>
  </si>
  <si>
    <t>Unit group name was Marketing associate professionals</t>
  </si>
  <si>
    <t>Estate agents and auctioneers</t>
  </si>
  <si>
    <t>Events managers and organisers</t>
  </si>
  <si>
    <t>Unit group name was Conference and exhibition managers and organisers</t>
  </si>
  <si>
    <t>Public Services Associate Professionals</t>
  </si>
  <si>
    <t>Public services associate professionals</t>
  </si>
  <si>
    <t>HR, Training and Other Vocational Associate Guidance Professionals</t>
  </si>
  <si>
    <t>Human resources and industrial relations officers</t>
  </si>
  <si>
    <t>Careers advisers and vocational guidance specialists</t>
  </si>
  <si>
    <t>Regulatory Associate Professionals</t>
  </si>
  <si>
    <t>ADMINISTRATIVE AND SECRETARIAL OCCUPATIONS</t>
  </si>
  <si>
    <t>ADMINISTRATIVE OCCUPATIONS</t>
  </si>
  <si>
    <t>Administrative Occupations: Government and Related Organisations</t>
  </si>
  <si>
    <t>National government administrative occupations</t>
  </si>
  <si>
    <t>Local government administrative occupations</t>
  </si>
  <si>
    <t>Officers of non-governmental organisations</t>
  </si>
  <si>
    <t>Administrative Occupations: Finance</t>
  </si>
  <si>
    <t>Bank and post office clerks</t>
  </si>
  <si>
    <t>Administrative Occupations: Records</t>
  </si>
  <si>
    <t>Pensions and insurance clerks and assistants</t>
  </si>
  <si>
    <t>Library clerks and assistants</t>
  </si>
  <si>
    <t>Human resources administrative occupations</t>
  </si>
  <si>
    <t>Administrative Occupations: Office Managers and Supervisors</t>
  </si>
  <si>
    <t>Office managers</t>
  </si>
  <si>
    <t>Office supervisors</t>
  </si>
  <si>
    <t>Customer service managers</t>
  </si>
  <si>
    <t>Other Administrative Occupations</t>
  </si>
  <si>
    <t>Sales administrators</t>
  </si>
  <si>
    <t>Data entry administrators</t>
  </si>
  <si>
    <t>SECRETARIAL AND RELATED OCCUPATIONS</t>
  </si>
  <si>
    <t>Secretarial and Related Occupations</t>
  </si>
  <si>
    <t>Medical secretaries</t>
  </si>
  <si>
    <t>Legal secretaries</t>
  </si>
  <si>
    <t>School secretaries</t>
  </si>
  <si>
    <t>Company secretaries and administrators</t>
  </si>
  <si>
    <t>Personal assistants and other secretaries</t>
  </si>
  <si>
    <t>Receptionists</t>
  </si>
  <si>
    <t>Typists and related keyboard occupations</t>
  </si>
  <si>
    <t>SKILLED TRADES OCCUPATIONS</t>
  </si>
  <si>
    <t>SKILLED AGRICULTURAL AND RELATED TRADES</t>
  </si>
  <si>
    <t>Agricultural and Related Trades</t>
  </si>
  <si>
    <t>Gardeners and landscape gardeners</t>
  </si>
  <si>
    <t>Agricultural and fishing trades n.e.c.</t>
  </si>
  <si>
    <t>SKILLED METAL, ELECTRICAL AND ELECTRONIC TRADES</t>
  </si>
  <si>
    <t>Metal Forming, Welding and Related Trades</t>
  </si>
  <si>
    <t>Metal Machining, Fitting and Instrument Making Trades</t>
  </si>
  <si>
    <t>Vehicle Trades</t>
  </si>
  <si>
    <t>Electrical and Electronic Trades</t>
  </si>
  <si>
    <t>Skilled Metal, Electrical and Electronic Trades Supervisors</t>
  </si>
  <si>
    <t>SKILLED CONSTRUCTION AND BUILDING TRADES</t>
  </si>
  <si>
    <t>Construction and Building Trades</t>
  </si>
  <si>
    <t>Building Finishing Trades</t>
  </si>
  <si>
    <t>Construction and Building Trades Supervisors</t>
  </si>
  <si>
    <t>TEXTILES, PRINTING AND OTHER SKILLED TRADES</t>
  </si>
  <si>
    <t>Textiles and Garments Trades</t>
  </si>
  <si>
    <t>Printing Trades</t>
  </si>
  <si>
    <t>Food Preparation and Hospitality Trades</t>
  </si>
  <si>
    <t>Chefs</t>
  </si>
  <si>
    <t>Cooks</t>
  </si>
  <si>
    <t>Catering and bar managers</t>
  </si>
  <si>
    <t>Other Skilled Trades</t>
  </si>
  <si>
    <t>Florists</t>
  </si>
  <si>
    <t>CARING, LEISURE AND OTHER SERVICE OCCUPATIONS</t>
  </si>
  <si>
    <t>CARING PERSONAL SERVICE OCCUPATIONS</t>
  </si>
  <si>
    <t>Teaching and Childcare Support Occupations</t>
  </si>
  <si>
    <t>Early education and childcare assistants</t>
  </si>
  <si>
    <t>Teaching assistants</t>
  </si>
  <si>
    <t>Educational support assistants</t>
  </si>
  <si>
    <t>Childminders</t>
  </si>
  <si>
    <t>Nannies and au pairs</t>
  </si>
  <si>
    <t>Playworkers</t>
  </si>
  <si>
    <t>Animal Care and Control Services</t>
  </si>
  <si>
    <t>Caring Personal Services</t>
  </si>
  <si>
    <t>Undertakers, mortuary and crematorium assistants</t>
  </si>
  <si>
    <t>LEISURE, TRAVEL AND RELATED PERSONAL SERVICE OCCUPATIONS</t>
  </si>
  <si>
    <t>Leisure and Travel Services</t>
  </si>
  <si>
    <t>Sports and leisure assistants</t>
  </si>
  <si>
    <t>Travel agents</t>
  </si>
  <si>
    <t>Leisure and travel service occupations n.e.c.</t>
  </si>
  <si>
    <t>Hairdressers and Related Services</t>
  </si>
  <si>
    <t>Hairdressers and barbers</t>
  </si>
  <si>
    <t>Beauticians and related occupations</t>
  </si>
  <si>
    <t>Housekeeping and Related Services</t>
  </si>
  <si>
    <t>Housekeepers and related occupations</t>
  </si>
  <si>
    <t>Caretakers</t>
  </si>
  <si>
    <t>Cleaning and Housekeeping Managers and Supervisors</t>
  </si>
  <si>
    <t xml:space="preserve">Bed and Breakfast and Guest House Owners and Proprietors </t>
  </si>
  <si>
    <t>Bed and breakfast and guest house owners and proprietors</t>
  </si>
  <si>
    <t>COMMUNITY AND CIVIL ENFORCEMENT OCCUPATIONS</t>
  </si>
  <si>
    <t>Community and Civil Enforcement Occupations</t>
  </si>
  <si>
    <t>Police community support officers</t>
  </si>
  <si>
    <t>Parking and civil enforcement occupations</t>
  </si>
  <si>
    <t>SALES AND CUSTOMER SERVICE OCCUPATIONS</t>
  </si>
  <si>
    <t>SALES OCCUPATIONS</t>
  </si>
  <si>
    <t>Sales Assistants and Retail Cashiers</t>
  </si>
  <si>
    <t>Retail cashiers and check-out operators</t>
  </si>
  <si>
    <t>Telephone salespersons</t>
  </si>
  <si>
    <t>Sales Related Occupations</t>
  </si>
  <si>
    <t>Collector salespersons and credit agents</t>
  </si>
  <si>
    <t>Debt, rent and other cash collectors</t>
  </si>
  <si>
    <t>Roundspersons and van salespersons</t>
  </si>
  <si>
    <t>Market and street traders and assistants</t>
  </si>
  <si>
    <t>Visual merchandisers and related occupations</t>
  </si>
  <si>
    <t>Sales related occupations n.e.c.</t>
  </si>
  <si>
    <t>Shopkeepers and Sales Supervisors</t>
  </si>
  <si>
    <t>Shopkeepers and owners - retail and wholesale</t>
  </si>
  <si>
    <t>Sales supervisors - retail and wholesale</t>
  </si>
  <si>
    <t>CUSTOMER SERVICE OCCUPATIONS</t>
  </si>
  <si>
    <t>Customer Service Occupations</t>
  </si>
  <si>
    <t>Call and contact centre occupations</t>
  </si>
  <si>
    <t>Telephonists</t>
  </si>
  <si>
    <t>Communication operators</t>
  </si>
  <si>
    <t>Market research interviewers</t>
  </si>
  <si>
    <t>Customer service supervisors</t>
  </si>
  <si>
    <t>PROCESS, PLANT AND MACHINE OPERATIVES</t>
  </si>
  <si>
    <t>Process Operatives</t>
  </si>
  <si>
    <t>Metal Working Machine Operatives</t>
  </si>
  <si>
    <t>Plant and Machine Operatives</t>
  </si>
  <si>
    <t>Assemblers and Routine Operatives</t>
  </si>
  <si>
    <t>Sewing machinists</t>
  </si>
  <si>
    <t>Construction Operatives</t>
  </si>
  <si>
    <t xml:space="preserve">Production, Factory and Assembly Supervisors </t>
  </si>
  <si>
    <t>TRANSPORT AND MOBILE MACHINE DRIVERS AND OPERATIVES</t>
  </si>
  <si>
    <t>Road Transport Drivers</t>
  </si>
  <si>
    <t>Delivery drivers and couriers</t>
  </si>
  <si>
    <t>Road transport drivers n.e.c.</t>
  </si>
  <si>
    <t>Mobile Machine Drivers and Operatives</t>
  </si>
  <si>
    <t>Other Drivers and Transport Operatives</t>
  </si>
  <si>
    <t>ELEMENTARY OCCUPATIONS</t>
  </si>
  <si>
    <t>ELEMENTARY TRADES AND RELATED OCCUPATIONS</t>
  </si>
  <si>
    <t>Elementary Agricultural Occupations</t>
  </si>
  <si>
    <t>Farm workers</t>
  </si>
  <si>
    <t>Fishing and other elementary agriculture occupations n.e.c.</t>
  </si>
  <si>
    <t>Elementary Construction Occupations</t>
  </si>
  <si>
    <t>Elementary Process Plant Occupations</t>
  </si>
  <si>
    <t>ELEMENTARY ADMINISTRATION AND SERVICE OCCUPATIONS</t>
  </si>
  <si>
    <t>Elementary Administration Occupations</t>
  </si>
  <si>
    <t>Postal workers, mail sorters and messengers</t>
  </si>
  <si>
    <t>Elementary administration occupations n.e.c.</t>
  </si>
  <si>
    <t>Elementary Cleaning Occupations</t>
  </si>
  <si>
    <t>Window cleaners</t>
  </si>
  <si>
    <t>Street cleaners</t>
  </si>
  <si>
    <t>Cleaners and domestics</t>
  </si>
  <si>
    <t>Launderers, dry cleaners and pressers</t>
  </si>
  <si>
    <t>Elementary cleaning occupations n.e.c.</t>
  </si>
  <si>
    <t>Elementary Security Occupations</t>
  </si>
  <si>
    <t>Security guards and related occupations</t>
  </si>
  <si>
    <t>School midday and crossing patrol occupations</t>
  </si>
  <si>
    <t>Exam invigilators</t>
  </si>
  <si>
    <t>Elementary Sales Occupations</t>
  </si>
  <si>
    <t>Shelf fillers</t>
  </si>
  <si>
    <t>Elementary sales occupations n.e.c.</t>
  </si>
  <si>
    <t>Elementary Storage Occupations</t>
  </si>
  <si>
    <t>Elementary storage supervisors</t>
  </si>
  <si>
    <t>Delivery operatives</t>
  </si>
  <si>
    <t>Other Elementary Services Occupations</t>
  </si>
  <si>
    <t>Bar and catering supervisors</t>
  </si>
  <si>
    <t>Kitchen and catering assistants</t>
  </si>
  <si>
    <t>Waiters and waitresses</t>
  </si>
  <si>
    <t>Bar staff</t>
  </si>
  <si>
    <t>Coffee shop workers</t>
  </si>
  <si>
    <t>Leisure and theme park attendants</t>
  </si>
  <si>
    <t>Other elementary services occupations n.e.c.</t>
  </si>
  <si>
    <t>Major Group</t>
  </si>
  <si>
    <t>Sub-Major Group</t>
  </si>
  <si>
    <t>Minor Group</t>
  </si>
  <si>
    <t>Unit   Group</t>
  </si>
  <si>
    <t>Group Title</t>
  </si>
  <si>
    <t>Marketing and sales directors</t>
  </si>
  <si>
    <t>Financial Institution Managers and Directors</t>
  </si>
  <si>
    <t>Financial institution managers and directors</t>
  </si>
  <si>
    <t>Managers and Directors in Transport and Logistics</t>
  </si>
  <si>
    <t>Leisure and sports managers</t>
  </si>
  <si>
    <t>Shopkeepers and proprietors – wholesale and retail</t>
  </si>
  <si>
    <t>Information Technology and Telecommunications Professionals</t>
  </si>
  <si>
    <t xml:space="preserve">Research and Development Managers </t>
  </si>
  <si>
    <t>Health Professionals</t>
  </si>
  <si>
    <t>Nursing and Midwifery Professionals</t>
  </si>
  <si>
    <t>TEACHING AND EDUCATIONAL PROFESSIONALS</t>
  </si>
  <si>
    <t>Teaching and Educational Professionals</t>
  </si>
  <si>
    <t>Primary and nursery education teaching professionals</t>
  </si>
  <si>
    <t>Special needs education teaching professionals</t>
  </si>
  <si>
    <t>Senior professionals of educational establishments</t>
  </si>
  <si>
    <t>Teaching and other educational professionals n.e.c.</t>
  </si>
  <si>
    <t>Solicitors</t>
  </si>
  <si>
    <t>Architects, Town Planners and Surveyors</t>
  </si>
  <si>
    <t>Archivists and curators</t>
  </si>
  <si>
    <t>Journalists, newspaper and periodical editors</t>
  </si>
  <si>
    <t>ASSOCIATE PROFESSIONAL AND TECHNICAL OCCUPATIONS</t>
  </si>
  <si>
    <t>Draughtspersons and Related Architectural Technicians</t>
  </si>
  <si>
    <t>Design Occupations</t>
  </si>
  <si>
    <t>Business, Finance and Related Associate Professionals</t>
  </si>
  <si>
    <t>Marketing associate professionals</t>
  </si>
  <si>
    <t>Conference and exhibition managers and organisers</t>
  </si>
  <si>
    <t>Conservation and Environmental Associate Professionals</t>
  </si>
  <si>
    <t>Conservation and environmental associate professionals</t>
  </si>
  <si>
    <t>Public Services and Other Associate Professionals</t>
  </si>
  <si>
    <t>Company secretaries</t>
  </si>
  <si>
    <t>Childcare and Related Personal Services</t>
  </si>
  <si>
    <t>Nursery nurses and assistants</t>
  </si>
  <si>
    <t>Childminders and related occupations</t>
  </si>
  <si>
    <t>Merchandisers and window dressers</t>
  </si>
  <si>
    <t>Sales Supervisors</t>
  </si>
  <si>
    <t>Customer Service Managers and Supervisors</t>
  </si>
  <si>
    <t>Postal workers, mail sorters, messengers and couriers</t>
  </si>
  <si>
    <t>Elementary security occupations n.e.c.</t>
  </si>
  <si>
    <t>UFS STEM list</t>
  </si>
  <si>
    <t>STEM: DSCET</t>
  </si>
  <si>
    <t xml:space="preserve">STEM: core </t>
  </si>
  <si>
    <t>STEM: core STEM with medicine and health &amp; teaching</t>
  </si>
  <si>
    <t>STEM: NSTC - all</t>
  </si>
  <si>
    <t>STEM: NSTC - AI</t>
  </si>
  <si>
    <t>STEM: NSTC - Eng Bio</t>
  </si>
  <si>
    <t>STEM: NSTC - Quantum</t>
  </si>
  <si>
    <t>STEM: NSTC - Semiconductors</t>
  </si>
  <si>
    <t>STEM: NSTC - Future Telecoms</t>
  </si>
  <si>
    <t>SectorSocYear</t>
  </si>
  <si>
    <t>Description</t>
  </si>
  <si>
    <t>Old label</t>
  </si>
  <si>
    <t>New label</t>
  </si>
  <si>
    <t>Proposed description</t>
  </si>
  <si>
    <t>Possible alternate description</t>
  </si>
  <si>
    <t>General info for each group of lookups</t>
  </si>
  <si>
    <t>Construction 'priority sector' workforce (based on SOC2010)</t>
  </si>
  <si>
    <t>Priority sector workforce identified by the government Sector Delivery Lead for Construction (based on SOC2010 occupations)</t>
  </si>
  <si>
    <t>Priority sector workforce occupations identified by government Sector Delivery Leads; these are based on SOC2010. [add list]</t>
  </si>
  <si>
    <t>Digital and technology 'priority sector' workforce (based on SOC2010)</t>
  </si>
  <si>
    <t>Priority sector workforce identified by the government Sector Delivery Lead for Digital and Technology (based on SOC2010 occupations)</t>
  </si>
  <si>
    <t>Most important occupations in the key sectors for delivering net zero targets (based on SOC2020)</t>
  </si>
  <si>
    <t>Most important occupations in the key sectors for delivering net zero targets (based on SOC2010)</t>
  </si>
  <si>
    <t>Haulage and logistics 'priority sector' workforce (based on SOC2010)</t>
  </si>
  <si>
    <t>Priority sector workforce identified by the government Sector Delivery Lead for Haulage and Logistics (based on SOC2010 occupations)</t>
  </si>
  <si>
    <t>Health and social care 'priority sector' workforce (based on SOC2010)</t>
  </si>
  <si>
    <t>Priority sector workforce identified by the government Sector Delivery Lead for Health and Social Care (based on SOC2010 occupations)</t>
  </si>
  <si>
    <t>Manufacturing 'priority sector' workforce (based on SOC2010)</t>
  </si>
  <si>
    <t>Priority sector workforce identified by the government Sector Delivery Lead for Manufacturing (based on SOC2010 occupations)</t>
  </si>
  <si>
    <t>STEM</t>
  </si>
  <si>
    <t>Science', 'Engineering and Technology' and 'Mathematics' occupations identified by the Royal Society (based on SOC2020)</t>
  </si>
  <si>
    <r>
      <t>Core list of STEM occupations identified by</t>
    </r>
    <r>
      <rPr>
        <sz val="11"/>
        <color rgb="FFC00000"/>
        <rFont val="Calibri"/>
        <family val="2"/>
        <scheme val="minor"/>
      </rPr>
      <t>…. - does not incude 'medicine &amp; health' or 'teaching'</t>
    </r>
    <r>
      <rPr>
        <sz val="11"/>
        <color theme="1"/>
        <rFont val="Calibri"/>
        <family val="2"/>
        <scheme val="minor"/>
      </rPr>
      <t xml:space="preserve"> (based on SOC2020)</t>
    </r>
  </si>
  <si>
    <t>STEM occupations identified by the Royal Society, as part of XXX; there are versions of these groups based on each of SOC2010 and SOC2020.</t>
  </si>
  <si>
    <t xml:space="preserve">STEM </t>
  </si>
  <si>
    <t>Science', 'Engineering and Technology' and 'Mathematics' occupations identified by the Royal Society (based on SOC2010)</t>
  </si>
  <si>
    <r>
      <t>Core list of STEM occupations identified by</t>
    </r>
    <r>
      <rPr>
        <sz val="11"/>
        <color rgb="FFC00000"/>
        <rFont val="Calibri"/>
        <family val="2"/>
        <scheme val="minor"/>
      </rPr>
      <t>….</t>
    </r>
    <r>
      <rPr>
        <sz val="11"/>
        <color theme="1"/>
        <rFont val="Calibri"/>
        <family val="2"/>
        <scheme val="minor"/>
      </rPr>
      <t xml:space="preserve"> - does not incude 'medicine &amp; health' or 'teaching' (based on SOC2010)</t>
    </r>
  </si>
  <si>
    <t>STEM plus medicine and health and other</t>
  </si>
  <si>
    <t>Science', 'Engineering and Technology' and 'Mathematics' occupations plus 'Medicine and Health' and 'Teaching' occupations identified by the Royal Society (based on SOC2020)</t>
  </si>
  <si>
    <r>
      <t>Full list of STEM occupations, including 'medicine and health' and teaching, identified by</t>
    </r>
    <r>
      <rPr>
        <sz val="11"/>
        <color rgb="FFC00000"/>
        <rFont val="Calibri"/>
        <family val="2"/>
        <scheme val="minor"/>
      </rPr>
      <t>….</t>
    </r>
    <r>
      <rPr>
        <sz val="11"/>
        <color theme="1"/>
        <rFont val="Calibri"/>
        <family val="2"/>
        <scheme val="minor"/>
      </rPr>
      <t xml:space="preserve"> (based on SOC2020)</t>
    </r>
  </si>
  <si>
    <t>Science', 'Engineering and Technology' and 'Mathematics' occupations plus 'Medicine and Health' and 'Teaching' occupations identified by the Royal Society (based on SOC2010)</t>
  </si>
  <si>
    <r>
      <t>Full list of STEM occupations, including 'medicine and health' and teaching, identified by</t>
    </r>
    <r>
      <rPr>
        <sz val="11"/>
        <color rgb="FFC00000"/>
        <rFont val="Calibri"/>
        <family val="2"/>
        <scheme val="minor"/>
      </rPr>
      <t>….</t>
    </r>
    <r>
      <rPr>
        <sz val="11"/>
        <color theme="1"/>
        <rFont val="Calibri"/>
        <family val="2"/>
        <scheme val="minor"/>
      </rPr>
      <t xml:space="preserve"> (based on SOC2010)</t>
    </r>
  </si>
  <si>
    <t>STEM: DCSET</t>
  </si>
  <si>
    <t>Digital and computing STEM occupations identified by the Digital and Computing Skills Education Taskforce (based on SOC2020)</t>
  </si>
  <si>
    <t>Digital and computing STEM occupations identified by the DCSET (based on SOC2020)</t>
  </si>
  <si>
    <t>Digital and computing occupations identifie`d on SOC2020 and are a subset of the STEM occupations.</t>
  </si>
  <si>
    <t>STEM: AI</t>
  </si>
  <si>
    <t>Artifical Intelligence technology STEM occupations identified as most relevant by DSIT critical tech policy teams (based on SOC2020)</t>
  </si>
  <si>
    <t>Artifical Intelligence technology STEM occupations (based on SOC2020)</t>
  </si>
  <si>
    <t>Critical technology occupations identified by DSIT policy teams, produced as part of XXXX; these are based on SOC2020 and are a subset of the STEM occupautions.</t>
  </si>
  <si>
    <t>STEM: Eng Bio</t>
  </si>
  <si>
    <t>Engineering Biology STEM occupations identified as most relevant by DSIT critical tech policy teams (based on SOC2020)</t>
  </si>
  <si>
    <t>Engineering Biology technology STEM occupations (based on SOC2020)</t>
  </si>
  <si>
    <t>STEM: Future Telecoms</t>
  </si>
  <si>
    <t>Future Telecoms STEM occupations identified as most relevant by DSIT critical tech policy teams (based on SOC2020)</t>
  </si>
  <si>
    <t>Futute Telecommunications technology STEM occupations (based on SOC2020)</t>
  </si>
  <si>
    <t>STEM: Quantum</t>
  </si>
  <si>
    <t>Quantum technology STEM occupations identified as most relevant by DSIT critical tech policy teams (based on SOC2020)</t>
  </si>
  <si>
    <t>Quantum technology STEM occupations (based on SOC2020)</t>
  </si>
  <si>
    <t>STEM: Semiconductors</t>
  </si>
  <si>
    <t>Semiconductors technology STEM occupations identified as most relevant by DSIT critical tech policy teams (based on SOC2020)</t>
  </si>
  <si>
    <t>Semiconductors technology STEM occupations (based on SOC2020)</t>
  </si>
  <si>
    <t>STEM: Critical technology key occupations</t>
  </si>
  <si>
    <t>Occupations identified as key to each of the 5 critical technologies by DSIT critical technology policy teams (based on SOC2020)</t>
  </si>
  <si>
    <t>Occupations identified as key to each of the 5 critical technologies by DSIT critical technology policy teams (based on SOC2010)</t>
  </si>
  <si>
    <t>Q: should SDL groups be prefixed with SDL?</t>
  </si>
  <si>
    <t>Q for Hannah: do we want to add SDL into the description for SDL groups?</t>
  </si>
  <si>
    <t>oldSector</t>
  </si>
  <si>
    <t>'Science', 'Engineering and Technology' and 'Mathematics' occupations identified by the Royal Society (based on SOC2020)</t>
  </si>
  <si>
    <t>'Science', 'Engineering and Technology' and 'Mathematics' occupations identified by the Royal Society (based on SOC2010)</t>
  </si>
  <si>
    <t>'Science', 'Engineering and Technology' and 'Mathematics' occupations plus 'Medicine and Health' and 'Teaching' occupations identified by the Royal Society (based on SOC2020)</t>
  </si>
  <si>
    <t>'Science', 'Engineering and Technology' and 'Mathematics' occupations plus 'Medicine and Health' and 'Teaching' occupations identified by the Royal Society (based on SOC2010)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</si>
</sst>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rgb="FFC0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9" fillId="0" borderId="0" xfId="42" applyFont="1" applyAlignment="1">
      <alignment vertical="top" wrapText="1"/>
    </xf>
    <xf numFmtId="0" fontId="18" fillId="0" borderId="0" xfId="42"/>
    <xf numFmtId="0" fontId="20" fillId="0" borderId="0" xfId="42" applyFont="1" applyAlignment="1">
      <alignment vertical="top" wrapText="1"/>
    </xf>
    <xf numFmtId="0" fontId="21" fillId="0" borderId="0" xfId="42" applyFont="1" applyAlignment="1">
      <alignment vertical="top" wrapText="1"/>
    </xf>
    <xf numFmtId="0" fontId="22" fillId="0" borderId="0" xfId="42" applyFont="1" applyAlignment="1">
      <alignment vertical="top" wrapText="1"/>
    </xf>
    <xf numFmtId="0" fontId="23" fillId="0" borderId="0" xfId="42" applyFont="1" applyAlignment="1">
      <alignment vertical="top" wrapText="1"/>
    </xf>
    <xf numFmtId="0" fontId="24" fillId="0" borderId="0" xfId="42" applyFont="1" applyAlignment="1">
      <alignment vertical="top" wrapText="1"/>
    </xf>
    <xf numFmtId="0" fontId="25" fillId="0" borderId="0" xfId="42" applyFont="1" applyAlignment="1">
      <alignment vertical="top" wrapText="1"/>
    </xf>
    <xf numFmtId="0" fontId="26" fillId="0" borderId="0" xfId="0" applyFont="1"/>
    <xf numFmtId="0" fontId="27" fillId="0" borderId="0" xfId="0" quotePrefix="1" applyFont="1"/>
    <xf numFmtId="0" fontId="28" fillId="0" borderId="0" xfId="0" applyFont="1"/>
    <xf numFmtId="0" fontId="29" fillId="0" borderId="0" xfId="0" applyFont="1"/>
    <xf numFmtId="0" fontId="26" fillId="0" borderId="0" xfId="0" applyFont="1" applyAlignment="1">
      <alignment wrapText="1"/>
    </xf>
    <xf numFmtId="0" fontId="0" fillId="0" borderId="0" xfId="0" quotePrefix="1"/>
    <xf numFmtId="0" fontId="21" fillId="0" borderId="0" xfId="42" applyFont="1" applyAlignment="1">
      <alignment vertical="top" wrapText="1"/>
    </xf>
    <xf numFmtId="0" fontId="19" fillId="0" borderId="0" xfId="42" applyFont="1" applyAlignment="1">
      <alignment vertical="top" wrapText="1"/>
    </xf>
    <xf numFmtId="0" fontId="18" fillId="0" borderId="0" xfId="42" applyAlignment="1">
      <alignment vertical="top" wrapText="1"/>
    </xf>
    <xf numFmtId="0" fontId="20" fillId="0" borderId="0" xfId="42" applyFont="1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DA1A814-6246-429E-A86A-6AF05AAAE44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2A04-B57F-4E87-9403-28F9F63AE36F}">
  <dimension ref="A1:F59"/>
  <sheetViews>
    <sheetView zoomScale="104" zoomScaleNormal="104" workbookViewId="0">
      <selection activeCell="B1" sqref="B1:D20"/>
    </sheetView>
  </sheetViews>
  <sheetFormatPr defaultRowHeight="14.5" x14ac:dyDescent="0.35"/>
  <cols>
    <col min="1" max="1" width="48" customWidth="1"/>
    <col min="2" max="2" width="44" customWidth="1"/>
    <col min="3" max="3" width="6.453125" customWidth="1"/>
    <col min="4" max="4" width="82.90625" bestFit="1" customWidth="1"/>
    <col min="5" max="5" width="98.54296875" customWidth="1"/>
    <col min="6" max="6" width="134.26953125" bestFit="1" customWidth="1"/>
  </cols>
  <sheetData>
    <row r="1" spans="1:6" x14ac:dyDescent="0.35">
      <c r="A1" t="s">
        <v>693</v>
      </c>
      <c r="B1" t="s">
        <v>694</v>
      </c>
      <c r="C1" t="s">
        <v>266</v>
      </c>
      <c r="D1" t="s">
        <v>695</v>
      </c>
      <c r="E1" t="s">
        <v>696</v>
      </c>
      <c r="F1" t="s">
        <v>697</v>
      </c>
    </row>
    <row r="2" spans="1:6" x14ac:dyDescent="0.35">
      <c r="A2" t="s">
        <v>237</v>
      </c>
      <c r="B2" t="s">
        <v>237</v>
      </c>
      <c r="C2">
        <v>2010</v>
      </c>
      <c r="D2" t="s">
        <v>698</v>
      </c>
      <c r="E2" t="s">
        <v>699</v>
      </c>
      <c r="F2" t="s">
        <v>700</v>
      </c>
    </row>
    <row r="3" spans="1:6" x14ac:dyDescent="0.35">
      <c r="A3" t="s">
        <v>238</v>
      </c>
      <c r="B3" t="s">
        <v>238</v>
      </c>
      <c r="C3">
        <v>2010</v>
      </c>
      <c r="D3" t="s">
        <v>701</v>
      </c>
      <c r="E3" t="s">
        <v>702</v>
      </c>
    </row>
    <row r="4" spans="1:6" x14ac:dyDescent="0.35">
      <c r="A4" t="s">
        <v>263</v>
      </c>
      <c r="B4" t="s">
        <v>263</v>
      </c>
      <c r="C4">
        <v>2020</v>
      </c>
      <c r="D4" t="s">
        <v>703</v>
      </c>
    </row>
    <row r="5" spans="1:6" x14ac:dyDescent="0.35">
      <c r="A5" t="s">
        <v>263</v>
      </c>
      <c r="B5" t="s">
        <v>263</v>
      </c>
      <c r="C5">
        <v>2010</v>
      </c>
      <c r="D5" t="s">
        <v>704</v>
      </c>
    </row>
    <row r="6" spans="1:6" x14ac:dyDescent="0.35">
      <c r="A6" t="s">
        <v>239</v>
      </c>
      <c r="B6" t="s">
        <v>239</v>
      </c>
      <c r="C6">
        <v>2010</v>
      </c>
      <c r="D6" t="s">
        <v>705</v>
      </c>
      <c r="E6" t="s">
        <v>706</v>
      </c>
    </row>
    <row r="7" spans="1:6" x14ac:dyDescent="0.35">
      <c r="A7" t="s">
        <v>240</v>
      </c>
      <c r="B7" t="s">
        <v>240</v>
      </c>
      <c r="C7">
        <v>2010</v>
      </c>
      <c r="D7" t="s">
        <v>707</v>
      </c>
      <c r="E7" t="s">
        <v>708</v>
      </c>
    </row>
    <row r="8" spans="1:6" x14ac:dyDescent="0.35">
      <c r="A8" t="s">
        <v>236</v>
      </c>
      <c r="B8" t="s">
        <v>236</v>
      </c>
      <c r="C8">
        <v>2010</v>
      </c>
      <c r="D8" t="s">
        <v>709</v>
      </c>
      <c r="E8" t="s">
        <v>710</v>
      </c>
    </row>
    <row r="9" spans="1:6" x14ac:dyDescent="0.35">
      <c r="A9" t="s">
        <v>683</v>
      </c>
      <c r="B9" s="11" t="s">
        <v>711</v>
      </c>
      <c r="C9">
        <v>2020</v>
      </c>
      <c r="D9" s="12" t="s">
        <v>712</v>
      </c>
      <c r="E9" t="s">
        <v>713</v>
      </c>
      <c r="F9" t="s">
        <v>714</v>
      </c>
    </row>
    <row r="10" spans="1:6" x14ac:dyDescent="0.35">
      <c r="A10" t="s">
        <v>683</v>
      </c>
      <c r="B10" s="11" t="s">
        <v>715</v>
      </c>
      <c r="C10">
        <v>2010</v>
      </c>
      <c r="D10" s="12" t="s">
        <v>716</v>
      </c>
      <c r="E10" t="s">
        <v>717</v>
      </c>
    </row>
    <row r="11" spans="1:6" x14ac:dyDescent="0.35">
      <c r="A11" t="s">
        <v>684</v>
      </c>
      <c r="B11" s="11" t="s">
        <v>718</v>
      </c>
      <c r="C11">
        <v>2020</v>
      </c>
      <c r="D11" s="12" t="s">
        <v>719</v>
      </c>
      <c r="E11" t="s">
        <v>720</v>
      </c>
    </row>
    <row r="12" spans="1:6" x14ac:dyDescent="0.35">
      <c r="A12" t="s">
        <v>684</v>
      </c>
      <c r="B12" s="11" t="s">
        <v>718</v>
      </c>
      <c r="C12">
        <v>2010</v>
      </c>
      <c r="D12" s="12" t="s">
        <v>721</v>
      </c>
      <c r="E12" t="s">
        <v>722</v>
      </c>
    </row>
    <row r="13" spans="1:6" ht="14.25" customHeight="1" x14ac:dyDescent="0.35">
      <c r="A13" t="s">
        <v>682</v>
      </c>
      <c r="B13" s="11" t="s">
        <v>723</v>
      </c>
      <c r="C13">
        <v>2020</v>
      </c>
      <c r="D13" s="13" t="s">
        <v>724</v>
      </c>
      <c r="E13" t="s">
        <v>725</v>
      </c>
      <c r="F13" s="14" t="s">
        <v>726</v>
      </c>
    </row>
    <row r="14" spans="1:6" ht="14.25" customHeight="1" x14ac:dyDescent="0.35">
      <c r="A14" t="s">
        <v>686</v>
      </c>
      <c r="B14" s="11" t="s">
        <v>727</v>
      </c>
      <c r="C14">
        <v>2020</v>
      </c>
      <c r="D14" s="13" t="s">
        <v>728</v>
      </c>
      <c r="E14" t="s">
        <v>729</v>
      </c>
      <c r="F14" t="s">
        <v>730</v>
      </c>
    </row>
    <row r="15" spans="1:6" ht="14.25" customHeight="1" x14ac:dyDescent="0.35">
      <c r="A15" t="s">
        <v>687</v>
      </c>
      <c r="B15" s="11" t="s">
        <v>731</v>
      </c>
      <c r="C15">
        <v>2020</v>
      </c>
      <c r="D15" s="13" t="s">
        <v>732</v>
      </c>
      <c r="E15" t="s">
        <v>733</v>
      </c>
    </row>
    <row r="16" spans="1:6" ht="14.25" customHeight="1" x14ac:dyDescent="0.35">
      <c r="A16" t="s">
        <v>690</v>
      </c>
      <c r="B16" s="11" t="s">
        <v>734</v>
      </c>
      <c r="C16">
        <v>2020</v>
      </c>
      <c r="D16" s="13" t="s">
        <v>735</v>
      </c>
      <c r="E16" t="s">
        <v>736</v>
      </c>
    </row>
    <row r="17" spans="1:6" ht="14.25" customHeight="1" x14ac:dyDescent="0.35">
      <c r="A17" t="s">
        <v>688</v>
      </c>
      <c r="B17" s="11" t="s">
        <v>737</v>
      </c>
      <c r="C17">
        <v>2020</v>
      </c>
      <c r="D17" s="13" t="s">
        <v>738</v>
      </c>
      <c r="E17" t="s">
        <v>739</v>
      </c>
    </row>
    <row r="18" spans="1:6" ht="14.25" customHeight="1" x14ac:dyDescent="0.35">
      <c r="A18" t="s">
        <v>689</v>
      </c>
      <c r="B18" s="11" t="s">
        <v>740</v>
      </c>
      <c r="C18">
        <v>2020</v>
      </c>
      <c r="D18" s="13" t="s">
        <v>741</v>
      </c>
      <c r="E18" t="s">
        <v>742</v>
      </c>
    </row>
    <row r="19" spans="1:6" ht="14.25" customHeight="1" x14ac:dyDescent="0.35">
      <c r="A19" t="s">
        <v>685</v>
      </c>
      <c r="B19" s="11" t="s">
        <v>743</v>
      </c>
      <c r="C19">
        <v>2020</v>
      </c>
      <c r="D19" s="13" t="s">
        <v>744</v>
      </c>
    </row>
    <row r="20" spans="1:6" ht="14.25" customHeight="1" x14ac:dyDescent="0.35">
      <c r="A20" t="s">
        <v>685</v>
      </c>
      <c r="B20" s="11" t="s">
        <v>743</v>
      </c>
      <c r="C20">
        <v>2010</v>
      </c>
      <c r="D20" s="13" t="s">
        <v>745</v>
      </c>
    </row>
    <row r="21" spans="1:6" ht="14.25" customHeight="1" x14ac:dyDescent="0.35"/>
    <row r="22" spans="1:6" x14ac:dyDescent="0.35">
      <c r="B22" s="11" t="s">
        <v>746</v>
      </c>
      <c r="D22" s="11" t="s">
        <v>747</v>
      </c>
      <c r="F22" s="15"/>
    </row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>
      <c r="E27" s="16"/>
    </row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</sheetData>
  <autoFilter ref="A1:E18" xr:uid="{00000000-0001-0000-0000-000000000000}">
    <sortState xmlns:xlrd2="http://schemas.microsoft.com/office/spreadsheetml/2017/richdata2" ref="A2:C18">
      <sortCondition ref="A1:A1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2"/>
  <sheetViews>
    <sheetView topLeftCell="A1161" zoomScale="104" zoomScaleNormal="104" workbookViewId="0">
      <selection activeCell="F1165" sqref="F1165:F1192"/>
    </sheetView>
  </sheetViews>
  <sheetFormatPr defaultRowHeight="14.5" x14ac:dyDescent="0.35"/>
  <cols>
    <col min="1" max="1" width="12.1796875" bestFit="1" customWidth="1"/>
    <col min="2" max="2" width="60.90625" bestFit="1" customWidth="1"/>
    <col min="3" max="3" width="26.1796875" customWidth="1"/>
    <col min="4" max="4" width="35.90625" bestFit="1" customWidth="1"/>
    <col min="5" max="5" width="12.1796875" bestFit="1" customWidth="1"/>
  </cols>
  <sheetData>
    <row r="1" spans="1:7" x14ac:dyDescent="0.35">
      <c r="A1" t="s">
        <v>267</v>
      </c>
      <c r="B1" t="s">
        <v>268</v>
      </c>
      <c r="C1" t="s">
        <v>748</v>
      </c>
      <c r="D1" t="s">
        <v>0</v>
      </c>
      <c r="E1" t="s">
        <v>1</v>
      </c>
      <c r="F1" t="s">
        <v>266</v>
      </c>
      <c r="G1" t="s">
        <v>691</v>
      </c>
    </row>
    <row r="2" spans="1:7" x14ac:dyDescent="0.35">
      <c r="A2">
        <v>1121</v>
      </c>
      <c r="B2" t="str">
        <f>IF(F2=2020,INDEX(SOC2020_Structure!E:E,MATCH(sectorLookup!A2,SOC2020_Structure!D:D,0)),INDEX(SOC2010_Structure!E:E,MATCH(sectorLookup!A2,SOC2010_Structure!D:D,0)))</f>
        <v>Production managers and directors in manufacturing</v>
      </c>
      <c r="C2" t="s">
        <v>236</v>
      </c>
      <c r="D2" t="str">
        <f>INDEX('group info'!B:B,MATCH(sectorLookup!C2,'group info'!A:A,0))</f>
        <v>Manufacturing</v>
      </c>
      <c r="E2" t="s">
        <v>241</v>
      </c>
      <c r="F2">
        <v>2010</v>
      </c>
      <c r="G2" t="str">
        <f>D2&amp;" SOC"&amp;F2</f>
        <v>Manufacturing SOC2010</v>
      </c>
    </row>
    <row r="3" spans="1:7" x14ac:dyDescent="0.35">
      <c r="A3">
        <v>1122</v>
      </c>
      <c r="B3" t="str">
        <f>IF(F3=2020,INDEX(SOC2020_Structure!E:E,MATCH(sectorLookup!A3,SOC2020_Structure!D:D,0)),INDEX(SOC2010_Structure!E:E,MATCH(sectorLookup!A3,SOC2010_Structure!D:D,0)))</f>
        <v>Production managers and directors in construction</v>
      </c>
      <c r="C3" t="s">
        <v>237</v>
      </c>
      <c r="D3" t="str">
        <f>INDEX('group info'!B:B,MATCH(sectorLookup!C3,'group info'!A:A,0))</f>
        <v>Construction</v>
      </c>
      <c r="E3" t="s">
        <v>241</v>
      </c>
      <c r="F3">
        <v>2010</v>
      </c>
      <c r="G3" t="str">
        <f t="shared" ref="G3:G66" si="0">D3&amp;" SOC"&amp;F3</f>
        <v>Construction SOC2010</v>
      </c>
    </row>
    <row r="4" spans="1:7" x14ac:dyDescent="0.35">
      <c r="A4">
        <v>1123</v>
      </c>
      <c r="B4" t="str">
        <f>IF(F4=2020,INDEX(SOC2020_Structure!E:E,MATCH(sectorLookup!A4,SOC2020_Structure!D:D,0)),INDEX(SOC2010_Structure!E:E,MATCH(sectorLookup!A4,SOC2010_Structure!D:D,0)))</f>
        <v>Production managers and directors in mining and energy</v>
      </c>
      <c r="C4" t="s">
        <v>236</v>
      </c>
      <c r="D4" t="str">
        <f>INDEX('group info'!B:B,MATCH(sectorLookup!C4,'group info'!A:A,0))</f>
        <v>Manufacturing</v>
      </c>
      <c r="E4" t="s">
        <v>241</v>
      </c>
      <c r="F4">
        <v>2010</v>
      </c>
      <c r="G4" t="str">
        <f t="shared" si="0"/>
        <v>Manufacturing SOC2010</v>
      </c>
    </row>
    <row r="5" spans="1:7" x14ac:dyDescent="0.35">
      <c r="A5">
        <v>1136</v>
      </c>
      <c r="B5" t="str">
        <f>IF(F5=2020,INDEX(SOC2020_Structure!E:E,MATCH(sectorLookup!A5,SOC2020_Structure!D:D,0)),INDEX(SOC2010_Structure!E:E,MATCH(sectorLookup!A5,SOC2010_Structure!D:D,0)))</f>
        <v>Information technology and telecommunications directors</v>
      </c>
      <c r="C5" t="s">
        <v>238</v>
      </c>
      <c r="D5" t="str">
        <f>INDEX('group info'!B:B,MATCH(sectorLookup!C5,'group info'!A:A,0))</f>
        <v>Digital and technology</v>
      </c>
      <c r="E5" t="s">
        <v>241</v>
      </c>
      <c r="F5">
        <v>2010</v>
      </c>
      <c r="G5" t="str">
        <f t="shared" si="0"/>
        <v>Digital and technology SOC2010</v>
      </c>
    </row>
    <row r="6" spans="1:7" x14ac:dyDescent="0.35">
      <c r="A6">
        <v>1161</v>
      </c>
      <c r="B6" t="str">
        <f>IF(F6=2020,INDEX(SOC2020_Structure!E:E,MATCH(sectorLookup!A6,SOC2020_Structure!D:D,0)),INDEX(SOC2010_Structure!E:E,MATCH(sectorLookup!A6,SOC2010_Structure!D:D,0)))</f>
        <v>Managers and directors in transport and distribution</v>
      </c>
      <c r="C6" t="s">
        <v>239</v>
      </c>
      <c r="D6" t="str">
        <f>INDEX('group info'!B:B,MATCH(sectorLookup!C6,'group info'!A:A,0))</f>
        <v>Haulage and logistics</v>
      </c>
      <c r="E6" t="s">
        <v>241</v>
      </c>
      <c r="F6">
        <v>2010</v>
      </c>
      <c r="G6" t="str">
        <f t="shared" si="0"/>
        <v>Haulage and logistics SOC2010</v>
      </c>
    </row>
    <row r="7" spans="1:7" x14ac:dyDescent="0.35">
      <c r="A7">
        <v>1181</v>
      </c>
      <c r="B7" t="str">
        <f>IF(F7=2020,INDEX(SOC2020_Structure!E:E,MATCH(sectorLookup!A7,SOC2020_Structure!D:D,0)),INDEX(SOC2010_Structure!E:E,MATCH(sectorLookup!A7,SOC2010_Structure!D:D,0)))</f>
        <v>Health services and public health managers and directors</v>
      </c>
      <c r="C7" t="s">
        <v>240</v>
      </c>
      <c r="D7" t="str">
        <f>INDEX('group info'!B:B,MATCH(sectorLookup!C7,'group info'!A:A,0))</f>
        <v>Health and social care</v>
      </c>
      <c r="E7" t="s">
        <v>241</v>
      </c>
      <c r="F7">
        <v>2010</v>
      </c>
      <c r="G7" t="str">
        <f t="shared" si="0"/>
        <v>Health and social care SOC2010</v>
      </c>
    </row>
    <row r="8" spans="1:7" x14ac:dyDescent="0.35">
      <c r="A8">
        <v>1184</v>
      </c>
      <c r="B8" t="str">
        <f>IF(F8=2020,INDEX(SOC2020_Structure!E:E,MATCH(sectorLookup!A8,SOC2020_Structure!D:D,0)),INDEX(SOC2010_Structure!E:E,MATCH(sectorLookup!A8,SOC2010_Structure!D:D,0)))</f>
        <v>Social services managers and directors</v>
      </c>
      <c r="C8" t="s">
        <v>240</v>
      </c>
      <c r="D8" t="str">
        <f>INDEX('group info'!B:B,MATCH(sectorLookup!C8,'group info'!A:A,0))</f>
        <v>Health and social care</v>
      </c>
      <c r="E8" t="s">
        <v>241</v>
      </c>
      <c r="F8">
        <v>2010</v>
      </c>
      <c r="G8" t="str">
        <f t="shared" si="0"/>
        <v>Health and social care SOC2010</v>
      </c>
    </row>
    <row r="9" spans="1:7" x14ac:dyDescent="0.35">
      <c r="A9">
        <v>1241</v>
      </c>
      <c r="B9" t="str">
        <f>IF(F9=2020,INDEX(SOC2020_Structure!E:E,MATCH(sectorLookup!A9,SOC2020_Structure!D:D,0)),INDEX(SOC2010_Structure!E:E,MATCH(sectorLookup!A9,SOC2010_Structure!D:D,0)))</f>
        <v>Health care practice managers</v>
      </c>
      <c r="C9" t="s">
        <v>240</v>
      </c>
      <c r="D9" t="str">
        <f>INDEX('group info'!B:B,MATCH(sectorLookup!C9,'group info'!A:A,0))</f>
        <v>Health and social care</v>
      </c>
      <c r="E9" t="s">
        <v>241</v>
      </c>
      <c r="F9">
        <v>2010</v>
      </c>
      <c r="G9" t="str">
        <f t="shared" si="0"/>
        <v>Health and social care SOC2010</v>
      </c>
    </row>
    <row r="10" spans="1:7" x14ac:dyDescent="0.35">
      <c r="A10">
        <v>1242</v>
      </c>
      <c r="B10" t="str">
        <f>IF(F10=2020,INDEX(SOC2020_Structure!E:E,MATCH(sectorLookup!A10,SOC2020_Structure!D:D,0)),INDEX(SOC2010_Structure!E:E,MATCH(sectorLookup!A10,SOC2010_Structure!D:D,0)))</f>
        <v>Residential, day and domiciliary  care managers and proprietors</v>
      </c>
      <c r="C10" t="s">
        <v>240</v>
      </c>
      <c r="D10" t="str">
        <f>INDEX('group info'!B:B,MATCH(sectorLookup!C10,'group info'!A:A,0))</f>
        <v>Health and social care</v>
      </c>
      <c r="E10" t="s">
        <v>241</v>
      </c>
      <c r="F10">
        <v>2010</v>
      </c>
      <c r="G10" t="str">
        <f t="shared" si="0"/>
        <v>Health and social care SOC2010</v>
      </c>
    </row>
    <row r="11" spans="1:7" x14ac:dyDescent="0.35">
      <c r="A11">
        <v>1252</v>
      </c>
      <c r="B11" t="str">
        <f>IF(F11=2020,INDEX(SOC2020_Structure!E:E,MATCH(sectorLookup!A11,SOC2020_Structure!D:D,0)),INDEX(SOC2010_Structure!E:E,MATCH(sectorLookup!A11,SOC2010_Structure!D:D,0)))</f>
        <v>Garage managers and proprietors</v>
      </c>
      <c r="C11" t="s">
        <v>239</v>
      </c>
      <c r="D11" t="str">
        <f>INDEX('group info'!B:B,MATCH(sectorLookup!C11,'group info'!A:A,0))</f>
        <v>Haulage and logistics</v>
      </c>
      <c r="E11" t="s">
        <v>241</v>
      </c>
      <c r="F11">
        <v>2010</v>
      </c>
      <c r="G11" t="str">
        <f t="shared" si="0"/>
        <v>Haulage and logistics SOC2010</v>
      </c>
    </row>
    <row r="12" spans="1:7" x14ac:dyDescent="0.35">
      <c r="A12">
        <v>2121</v>
      </c>
      <c r="B12" t="str">
        <f>IF(F12=2020,INDEX(SOC2020_Structure!E:E,MATCH(sectorLookup!A12,SOC2020_Structure!D:D,0)),INDEX(SOC2010_Structure!E:E,MATCH(sectorLookup!A12,SOC2010_Structure!D:D,0)))</f>
        <v>Civil engineers</v>
      </c>
      <c r="C12" t="s">
        <v>237</v>
      </c>
      <c r="D12" t="str">
        <f>INDEX('group info'!B:B,MATCH(sectorLookup!C12,'group info'!A:A,0))</f>
        <v>Construction</v>
      </c>
      <c r="E12" t="s">
        <v>241</v>
      </c>
      <c r="F12">
        <v>2010</v>
      </c>
      <c r="G12" t="str">
        <f t="shared" si="0"/>
        <v>Construction SOC2010</v>
      </c>
    </row>
    <row r="13" spans="1:7" x14ac:dyDescent="0.35">
      <c r="A13">
        <v>2122</v>
      </c>
      <c r="B13" t="str">
        <f>IF(F13=2020,INDEX(SOC2020_Structure!E:E,MATCH(sectorLookup!A13,SOC2020_Structure!D:D,0)),INDEX(SOC2010_Structure!E:E,MATCH(sectorLookup!A13,SOC2010_Structure!D:D,0)))</f>
        <v>Mechanical engineers</v>
      </c>
      <c r="C13" t="s">
        <v>237</v>
      </c>
      <c r="D13" t="str">
        <f>INDEX('group info'!B:B,MATCH(sectorLookup!C13,'group info'!A:A,0))</f>
        <v>Construction</v>
      </c>
      <c r="E13" t="s">
        <v>241</v>
      </c>
      <c r="F13">
        <v>2010</v>
      </c>
      <c r="G13" t="str">
        <f t="shared" si="0"/>
        <v>Construction SOC2010</v>
      </c>
    </row>
    <row r="14" spans="1:7" x14ac:dyDescent="0.35">
      <c r="A14">
        <v>2123</v>
      </c>
      <c r="B14" t="str">
        <f>IF(F14=2020,INDEX(SOC2020_Structure!E:E,MATCH(sectorLookup!A14,SOC2020_Structure!D:D,0)),INDEX(SOC2010_Structure!E:E,MATCH(sectorLookup!A14,SOC2010_Structure!D:D,0)))</f>
        <v>Electrical engineers</v>
      </c>
      <c r="C14" t="s">
        <v>237</v>
      </c>
      <c r="D14" t="str">
        <f>INDEX('group info'!B:B,MATCH(sectorLookup!C14,'group info'!A:A,0))</f>
        <v>Construction</v>
      </c>
      <c r="E14" t="s">
        <v>241</v>
      </c>
      <c r="F14">
        <v>2010</v>
      </c>
      <c r="G14" t="str">
        <f t="shared" si="0"/>
        <v>Construction SOC2010</v>
      </c>
    </row>
    <row r="15" spans="1:7" x14ac:dyDescent="0.35">
      <c r="A15">
        <v>2124</v>
      </c>
      <c r="B15" t="str">
        <f>IF(F15=2020,INDEX(SOC2020_Structure!E:E,MATCH(sectorLookup!A15,SOC2020_Structure!D:D,0)),INDEX(SOC2010_Structure!E:E,MATCH(sectorLookup!A15,SOC2010_Structure!D:D,0)))</f>
        <v>Electronics engineers</v>
      </c>
      <c r="C15" t="s">
        <v>237</v>
      </c>
      <c r="D15" t="str">
        <f>INDEX('group info'!B:B,MATCH(sectorLookup!C15,'group info'!A:A,0))</f>
        <v>Construction</v>
      </c>
      <c r="E15" t="s">
        <v>241</v>
      </c>
      <c r="F15">
        <v>2010</v>
      </c>
      <c r="G15" t="str">
        <f t="shared" si="0"/>
        <v>Construction SOC2010</v>
      </c>
    </row>
    <row r="16" spans="1:7" x14ac:dyDescent="0.35">
      <c r="A16">
        <v>2126</v>
      </c>
      <c r="B16" t="str">
        <f>IF(F16=2020,INDEX(SOC2020_Structure!E:E,MATCH(sectorLookup!A16,SOC2020_Structure!D:D,0)),INDEX(SOC2010_Structure!E:E,MATCH(sectorLookup!A16,SOC2010_Structure!D:D,0)))</f>
        <v>Design and development engineers</v>
      </c>
      <c r="C16" t="s">
        <v>237</v>
      </c>
      <c r="D16" t="str">
        <f>INDEX('group info'!B:B,MATCH(sectorLookup!C16,'group info'!A:A,0))</f>
        <v>Construction</v>
      </c>
      <c r="E16" t="s">
        <v>241</v>
      </c>
      <c r="F16">
        <v>2010</v>
      </c>
      <c r="G16" t="str">
        <f t="shared" si="0"/>
        <v>Construction SOC2010</v>
      </c>
    </row>
    <row r="17" spans="1:7" x14ac:dyDescent="0.35">
      <c r="A17">
        <v>2127</v>
      </c>
      <c r="B17" t="str">
        <f>IF(F17=2020,INDEX(SOC2020_Structure!E:E,MATCH(sectorLookup!A17,SOC2020_Structure!D:D,0)),INDEX(SOC2010_Structure!E:E,MATCH(sectorLookup!A17,SOC2010_Structure!D:D,0)))</f>
        <v>Production and process engineers</v>
      </c>
      <c r="C17" t="s">
        <v>237</v>
      </c>
      <c r="D17" t="str">
        <f>INDEX('group info'!B:B,MATCH(sectorLookup!C17,'group info'!A:A,0))</f>
        <v>Construction</v>
      </c>
      <c r="E17" t="s">
        <v>241</v>
      </c>
      <c r="F17">
        <v>2010</v>
      </c>
      <c r="G17" t="str">
        <f t="shared" si="0"/>
        <v>Construction SOC2010</v>
      </c>
    </row>
    <row r="18" spans="1:7" x14ac:dyDescent="0.35">
      <c r="A18">
        <v>2129</v>
      </c>
      <c r="B18" t="str">
        <f>IF(F18=2020,INDEX(SOC2020_Structure!E:E,MATCH(sectorLookup!A18,SOC2020_Structure!D:D,0)),INDEX(SOC2010_Structure!E:E,MATCH(sectorLookup!A18,SOC2010_Structure!D:D,0)))</f>
        <v>Engineering professionals n.e.c.</v>
      </c>
      <c r="C18" t="s">
        <v>237</v>
      </c>
      <c r="D18" t="str">
        <f>INDEX('group info'!B:B,MATCH(sectorLookup!C18,'group info'!A:A,0))</f>
        <v>Construction</v>
      </c>
      <c r="E18" t="s">
        <v>241</v>
      </c>
      <c r="F18">
        <v>2010</v>
      </c>
      <c r="G18" t="str">
        <f t="shared" si="0"/>
        <v>Construction SOC2010</v>
      </c>
    </row>
    <row r="19" spans="1:7" x14ac:dyDescent="0.35">
      <c r="A19">
        <v>2133</v>
      </c>
      <c r="B19" t="str">
        <f>IF(F19=2020,INDEX(SOC2020_Structure!E:E,MATCH(sectorLookup!A19,SOC2020_Structure!D:D,0)),INDEX(SOC2010_Structure!E:E,MATCH(sectorLookup!A19,SOC2010_Structure!D:D,0)))</f>
        <v>IT specialist managers</v>
      </c>
      <c r="C19" t="s">
        <v>238</v>
      </c>
      <c r="D19" t="str">
        <f>INDEX('group info'!B:B,MATCH(sectorLookup!C19,'group info'!A:A,0))</f>
        <v>Digital and technology</v>
      </c>
      <c r="E19" t="s">
        <v>241</v>
      </c>
      <c r="F19">
        <v>2010</v>
      </c>
      <c r="G19" t="str">
        <f t="shared" si="0"/>
        <v>Digital and technology SOC2010</v>
      </c>
    </row>
    <row r="20" spans="1:7" x14ac:dyDescent="0.35">
      <c r="A20">
        <v>2134</v>
      </c>
      <c r="B20" t="str">
        <f>IF(F20=2020,INDEX(SOC2020_Structure!E:E,MATCH(sectorLookup!A20,SOC2020_Structure!D:D,0)),INDEX(SOC2010_Structure!E:E,MATCH(sectorLookup!A20,SOC2010_Structure!D:D,0)))</f>
        <v>IT project and programme managers</v>
      </c>
      <c r="C20" t="s">
        <v>238</v>
      </c>
      <c r="D20" t="str">
        <f>INDEX('group info'!B:B,MATCH(sectorLookup!C20,'group info'!A:A,0))</f>
        <v>Digital and technology</v>
      </c>
      <c r="E20" t="s">
        <v>241</v>
      </c>
      <c r="F20">
        <v>2010</v>
      </c>
      <c r="G20" t="str">
        <f t="shared" si="0"/>
        <v>Digital and technology SOC2010</v>
      </c>
    </row>
    <row r="21" spans="1:7" x14ac:dyDescent="0.35">
      <c r="A21">
        <v>2135</v>
      </c>
      <c r="B21" t="str">
        <f>IF(F21=2020,INDEX(SOC2020_Structure!E:E,MATCH(sectorLookup!A21,SOC2020_Structure!D:D,0)),INDEX(SOC2010_Structure!E:E,MATCH(sectorLookup!A21,SOC2010_Structure!D:D,0)))</f>
        <v>IT business analysts, architects and systems designers</v>
      </c>
      <c r="C21" t="s">
        <v>238</v>
      </c>
      <c r="D21" t="str">
        <f>INDEX('group info'!B:B,MATCH(sectorLookup!C21,'group info'!A:A,0))</f>
        <v>Digital and technology</v>
      </c>
      <c r="E21" t="s">
        <v>241</v>
      </c>
      <c r="F21">
        <v>2010</v>
      </c>
      <c r="G21" t="str">
        <f t="shared" si="0"/>
        <v>Digital and technology SOC2010</v>
      </c>
    </row>
    <row r="22" spans="1:7" x14ac:dyDescent="0.35">
      <c r="A22">
        <v>2136</v>
      </c>
      <c r="B22" t="str">
        <f>IF(F22=2020,INDEX(SOC2020_Structure!E:E,MATCH(sectorLookup!A22,SOC2020_Structure!D:D,0)),INDEX(SOC2010_Structure!E:E,MATCH(sectorLookup!A22,SOC2010_Structure!D:D,0)))</f>
        <v>Programmers and software development professionals</v>
      </c>
      <c r="C22" t="s">
        <v>238</v>
      </c>
      <c r="D22" t="str">
        <f>INDEX('group info'!B:B,MATCH(sectorLookup!C22,'group info'!A:A,0))</f>
        <v>Digital and technology</v>
      </c>
      <c r="E22" t="s">
        <v>241</v>
      </c>
      <c r="F22">
        <v>2010</v>
      </c>
      <c r="G22" t="str">
        <f t="shared" si="0"/>
        <v>Digital and technology SOC2010</v>
      </c>
    </row>
    <row r="23" spans="1:7" x14ac:dyDescent="0.35">
      <c r="A23">
        <v>2137</v>
      </c>
      <c r="B23" t="str">
        <f>IF(F23=2020,INDEX(SOC2020_Structure!E:E,MATCH(sectorLookup!A23,SOC2020_Structure!D:D,0)),INDEX(SOC2010_Structure!E:E,MATCH(sectorLookup!A23,SOC2010_Structure!D:D,0)))</f>
        <v>Web design and development professionals</v>
      </c>
      <c r="C23" t="s">
        <v>238</v>
      </c>
      <c r="D23" t="str">
        <f>INDEX('group info'!B:B,MATCH(sectorLookup!C23,'group info'!A:A,0))</f>
        <v>Digital and technology</v>
      </c>
      <c r="E23" t="s">
        <v>241</v>
      </c>
      <c r="F23">
        <v>2010</v>
      </c>
      <c r="G23" t="str">
        <f t="shared" si="0"/>
        <v>Digital and technology SOC2010</v>
      </c>
    </row>
    <row r="24" spans="1:7" x14ac:dyDescent="0.35">
      <c r="A24">
        <v>2139</v>
      </c>
      <c r="B24" t="str">
        <f>IF(F24=2020,INDEX(SOC2020_Structure!E:E,MATCH(sectorLookup!A24,SOC2020_Structure!D:D,0)),INDEX(SOC2010_Structure!E:E,MATCH(sectorLookup!A24,SOC2010_Structure!D:D,0)))</f>
        <v>Information technology and telecommunications professionals n.e.c.</v>
      </c>
      <c r="C24" t="s">
        <v>238</v>
      </c>
      <c r="D24" t="str">
        <f>INDEX('group info'!B:B,MATCH(sectorLookup!C24,'group info'!A:A,0))</f>
        <v>Digital and technology</v>
      </c>
      <c r="E24" t="s">
        <v>241</v>
      </c>
      <c r="F24">
        <v>2010</v>
      </c>
      <c r="G24" t="str">
        <f t="shared" si="0"/>
        <v>Digital and technology SOC2010</v>
      </c>
    </row>
    <row r="25" spans="1:7" x14ac:dyDescent="0.35">
      <c r="A25">
        <v>2211</v>
      </c>
      <c r="B25" t="str">
        <f>IF(F25=2020,INDEX(SOC2020_Structure!E:E,MATCH(sectorLookup!A25,SOC2020_Structure!D:D,0)),INDEX(SOC2010_Structure!E:E,MATCH(sectorLookup!A25,SOC2010_Structure!D:D,0)))</f>
        <v>Medical practitioners</v>
      </c>
      <c r="C25" t="s">
        <v>240</v>
      </c>
      <c r="D25" t="str">
        <f>INDEX('group info'!B:B,MATCH(sectorLookup!C25,'group info'!A:A,0))</f>
        <v>Health and social care</v>
      </c>
      <c r="E25" t="s">
        <v>241</v>
      </c>
      <c r="F25">
        <v>2010</v>
      </c>
      <c r="G25" t="str">
        <f t="shared" si="0"/>
        <v>Health and social care SOC2010</v>
      </c>
    </row>
    <row r="26" spans="1:7" x14ac:dyDescent="0.35">
      <c r="A26">
        <v>2213</v>
      </c>
      <c r="B26" t="str">
        <f>IF(F26=2020,INDEX(SOC2020_Structure!E:E,MATCH(sectorLookup!A26,SOC2020_Structure!D:D,0)),INDEX(SOC2010_Structure!E:E,MATCH(sectorLookup!A26,SOC2010_Structure!D:D,0)))</f>
        <v>Pharmacists</v>
      </c>
      <c r="C26" t="s">
        <v>240</v>
      </c>
      <c r="D26" t="str">
        <f>INDEX('group info'!B:B,MATCH(sectorLookup!C26,'group info'!A:A,0))</f>
        <v>Health and social care</v>
      </c>
      <c r="E26" t="s">
        <v>241</v>
      </c>
      <c r="F26">
        <v>2010</v>
      </c>
      <c r="G26" t="str">
        <f t="shared" si="0"/>
        <v>Health and social care SOC2010</v>
      </c>
    </row>
    <row r="27" spans="1:7" x14ac:dyDescent="0.35">
      <c r="A27">
        <v>2214</v>
      </c>
      <c r="B27" t="str">
        <f>IF(F27=2020,INDEX(SOC2020_Structure!E:E,MATCH(sectorLookup!A27,SOC2020_Structure!D:D,0)),INDEX(SOC2010_Structure!E:E,MATCH(sectorLookup!A27,SOC2010_Structure!D:D,0)))</f>
        <v>Ophthalmic opticians</v>
      </c>
      <c r="C27" t="s">
        <v>240</v>
      </c>
      <c r="D27" t="str">
        <f>INDEX('group info'!B:B,MATCH(sectorLookup!C27,'group info'!A:A,0))</f>
        <v>Health and social care</v>
      </c>
      <c r="E27" t="s">
        <v>241</v>
      </c>
      <c r="F27">
        <v>2010</v>
      </c>
      <c r="G27" t="str">
        <f t="shared" si="0"/>
        <v>Health and social care SOC2010</v>
      </c>
    </row>
    <row r="28" spans="1:7" x14ac:dyDescent="0.35">
      <c r="A28">
        <v>2215</v>
      </c>
      <c r="B28" t="str">
        <f>IF(F28=2020,INDEX(SOC2020_Structure!E:E,MATCH(sectorLookup!A28,SOC2020_Structure!D:D,0)),INDEX(SOC2010_Structure!E:E,MATCH(sectorLookup!A28,SOC2010_Structure!D:D,0)))</f>
        <v>Dental practitioners</v>
      </c>
      <c r="C28" t="s">
        <v>240</v>
      </c>
      <c r="D28" t="str">
        <f>INDEX('group info'!B:B,MATCH(sectorLookup!C28,'group info'!A:A,0))</f>
        <v>Health and social care</v>
      </c>
      <c r="E28" t="s">
        <v>241</v>
      </c>
      <c r="F28">
        <v>2010</v>
      </c>
      <c r="G28" t="str">
        <f t="shared" si="0"/>
        <v>Health and social care SOC2010</v>
      </c>
    </row>
    <row r="29" spans="1:7" x14ac:dyDescent="0.35">
      <c r="A29">
        <v>2217</v>
      </c>
      <c r="B29" t="str">
        <f>IF(F29=2020,INDEX(SOC2020_Structure!E:E,MATCH(sectorLookup!A29,SOC2020_Structure!D:D,0)),INDEX(SOC2010_Structure!E:E,MATCH(sectorLookup!A29,SOC2010_Structure!D:D,0)))</f>
        <v>Medical radiographers</v>
      </c>
      <c r="C29" t="s">
        <v>240</v>
      </c>
      <c r="D29" t="str">
        <f>INDEX('group info'!B:B,MATCH(sectorLookup!C29,'group info'!A:A,0))</f>
        <v>Health and social care</v>
      </c>
      <c r="E29" t="s">
        <v>241</v>
      </c>
      <c r="F29">
        <v>2010</v>
      </c>
      <c r="G29" t="str">
        <f t="shared" si="0"/>
        <v>Health and social care SOC2010</v>
      </c>
    </row>
    <row r="30" spans="1:7" x14ac:dyDescent="0.35">
      <c r="A30">
        <v>2218</v>
      </c>
      <c r="B30" t="str">
        <f>IF(F30=2020,INDEX(SOC2020_Structure!E:E,MATCH(sectorLookup!A30,SOC2020_Structure!D:D,0)),INDEX(SOC2010_Structure!E:E,MATCH(sectorLookup!A30,SOC2010_Structure!D:D,0)))</f>
        <v>Podiatrists</v>
      </c>
      <c r="C30" t="s">
        <v>240</v>
      </c>
      <c r="D30" t="str">
        <f>INDEX('group info'!B:B,MATCH(sectorLookup!C30,'group info'!A:A,0))</f>
        <v>Health and social care</v>
      </c>
      <c r="E30" t="s">
        <v>241</v>
      </c>
      <c r="F30">
        <v>2010</v>
      </c>
      <c r="G30" t="str">
        <f t="shared" si="0"/>
        <v>Health and social care SOC2010</v>
      </c>
    </row>
    <row r="31" spans="1:7" x14ac:dyDescent="0.35">
      <c r="A31">
        <v>2219</v>
      </c>
      <c r="B31" t="str">
        <f>IF(F31=2020,INDEX(SOC2020_Structure!E:E,MATCH(sectorLookup!A31,SOC2020_Structure!D:D,0)),INDEX(SOC2010_Structure!E:E,MATCH(sectorLookup!A31,SOC2010_Structure!D:D,0)))</f>
        <v>Health professionals n.e.c.</v>
      </c>
      <c r="C31" t="s">
        <v>240</v>
      </c>
      <c r="D31" t="str">
        <f>INDEX('group info'!B:B,MATCH(sectorLookup!C31,'group info'!A:A,0))</f>
        <v>Health and social care</v>
      </c>
      <c r="E31" t="s">
        <v>241</v>
      </c>
      <c r="F31">
        <v>2010</v>
      </c>
      <c r="G31" t="str">
        <f t="shared" si="0"/>
        <v>Health and social care SOC2010</v>
      </c>
    </row>
    <row r="32" spans="1:7" x14ac:dyDescent="0.35">
      <c r="A32">
        <v>2221</v>
      </c>
      <c r="B32" t="str">
        <f>IF(F32=2020,INDEX(SOC2020_Structure!E:E,MATCH(sectorLookup!A32,SOC2020_Structure!D:D,0)),INDEX(SOC2010_Structure!E:E,MATCH(sectorLookup!A32,SOC2010_Structure!D:D,0)))</f>
        <v>Physiotherapists</v>
      </c>
      <c r="C32" t="s">
        <v>240</v>
      </c>
      <c r="D32" t="str">
        <f>INDEX('group info'!B:B,MATCH(sectorLookup!C32,'group info'!A:A,0))</f>
        <v>Health and social care</v>
      </c>
      <c r="E32" t="s">
        <v>241</v>
      </c>
      <c r="F32">
        <v>2010</v>
      </c>
      <c r="G32" t="str">
        <f t="shared" si="0"/>
        <v>Health and social care SOC2010</v>
      </c>
    </row>
    <row r="33" spans="1:7" x14ac:dyDescent="0.35">
      <c r="A33">
        <v>2222</v>
      </c>
      <c r="B33" t="str">
        <f>IF(F33=2020,INDEX(SOC2020_Structure!E:E,MATCH(sectorLookup!A33,SOC2020_Structure!D:D,0)),INDEX(SOC2010_Structure!E:E,MATCH(sectorLookup!A33,SOC2010_Structure!D:D,0)))</f>
        <v>Occupational therapists</v>
      </c>
      <c r="C33" t="s">
        <v>240</v>
      </c>
      <c r="D33" t="str">
        <f>INDEX('group info'!B:B,MATCH(sectorLookup!C33,'group info'!A:A,0))</f>
        <v>Health and social care</v>
      </c>
      <c r="E33" t="s">
        <v>241</v>
      </c>
      <c r="F33">
        <v>2010</v>
      </c>
      <c r="G33" t="str">
        <f t="shared" si="0"/>
        <v>Health and social care SOC2010</v>
      </c>
    </row>
    <row r="34" spans="1:7" x14ac:dyDescent="0.35">
      <c r="A34">
        <v>2223</v>
      </c>
      <c r="B34" t="str">
        <f>IF(F34=2020,INDEX(SOC2020_Structure!E:E,MATCH(sectorLookup!A34,SOC2020_Structure!D:D,0)),INDEX(SOC2010_Structure!E:E,MATCH(sectorLookup!A34,SOC2010_Structure!D:D,0)))</f>
        <v>Speech and language therapists</v>
      </c>
      <c r="C34" t="s">
        <v>240</v>
      </c>
      <c r="D34" t="str">
        <f>INDEX('group info'!B:B,MATCH(sectorLookup!C34,'group info'!A:A,0))</f>
        <v>Health and social care</v>
      </c>
      <c r="E34" t="s">
        <v>241</v>
      </c>
      <c r="F34">
        <v>2010</v>
      </c>
      <c r="G34" t="str">
        <f t="shared" si="0"/>
        <v>Health and social care SOC2010</v>
      </c>
    </row>
    <row r="35" spans="1:7" x14ac:dyDescent="0.35">
      <c r="A35">
        <v>2229</v>
      </c>
      <c r="B35" t="str">
        <f>IF(F35=2020,INDEX(SOC2020_Structure!E:E,MATCH(sectorLookup!A35,SOC2020_Structure!D:D,0)),INDEX(SOC2010_Structure!E:E,MATCH(sectorLookup!A35,SOC2010_Structure!D:D,0)))</f>
        <v>Therapy professionals n.e.c.</v>
      </c>
      <c r="C35" t="s">
        <v>240</v>
      </c>
      <c r="D35" t="str">
        <f>INDEX('group info'!B:B,MATCH(sectorLookup!C35,'group info'!A:A,0))</f>
        <v>Health and social care</v>
      </c>
      <c r="E35" t="s">
        <v>241</v>
      </c>
      <c r="F35">
        <v>2010</v>
      </c>
      <c r="G35" t="str">
        <f t="shared" si="0"/>
        <v>Health and social care SOC2010</v>
      </c>
    </row>
    <row r="36" spans="1:7" x14ac:dyDescent="0.35">
      <c r="A36">
        <v>2231</v>
      </c>
      <c r="B36" t="str">
        <f>IF(F36=2020,INDEX(SOC2020_Structure!E:E,MATCH(sectorLookup!A36,SOC2020_Structure!D:D,0)),INDEX(SOC2010_Structure!E:E,MATCH(sectorLookup!A36,SOC2010_Structure!D:D,0)))</f>
        <v>Nurses</v>
      </c>
      <c r="C36" t="s">
        <v>240</v>
      </c>
      <c r="D36" t="str">
        <f>INDEX('group info'!B:B,MATCH(sectorLookup!C36,'group info'!A:A,0))</f>
        <v>Health and social care</v>
      </c>
      <c r="E36" t="s">
        <v>241</v>
      </c>
      <c r="F36">
        <v>2010</v>
      </c>
      <c r="G36" t="str">
        <f t="shared" si="0"/>
        <v>Health and social care SOC2010</v>
      </c>
    </row>
    <row r="37" spans="1:7" x14ac:dyDescent="0.35">
      <c r="A37">
        <v>2232</v>
      </c>
      <c r="B37" t="str">
        <f>IF(F37=2020,INDEX(SOC2020_Structure!E:E,MATCH(sectorLookup!A37,SOC2020_Structure!D:D,0)),INDEX(SOC2010_Structure!E:E,MATCH(sectorLookup!A37,SOC2010_Structure!D:D,0)))</f>
        <v>Midwives</v>
      </c>
      <c r="C37" t="s">
        <v>240</v>
      </c>
      <c r="D37" t="str">
        <f>INDEX('group info'!B:B,MATCH(sectorLookup!C37,'group info'!A:A,0))</f>
        <v>Health and social care</v>
      </c>
      <c r="E37" t="s">
        <v>241</v>
      </c>
      <c r="F37">
        <v>2010</v>
      </c>
      <c r="G37" t="str">
        <f t="shared" si="0"/>
        <v>Health and social care SOC2010</v>
      </c>
    </row>
    <row r="38" spans="1:7" x14ac:dyDescent="0.35">
      <c r="A38">
        <v>2431</v>
      </c>
      <c r="B38" t="str">
        <f>IF(F38=2020,INDEX(SOC2020_Structure!E:E,MATCH(sectorLookup!A38,SOC2020_Structure!D:D,0)),INDEX(SOC2010_Structure!E:E,MATCH(sectorLookup!A38,SOC2010_Structure!D:D,0)))</f>
        <v>Architects</v>
      </c>
      <c r="C38" t="s">
        <v>237</v>
      </c>
      <c r="D38" t="str">
        <f>INDEX('group info'!B:B,MATCH(sectorLookup!C38,'group info'!A:A,0))</f>
        <v>Construction</v>
      </c>
      <c r="E38" t="s">
        <v>241</v>
      </c>
      <c r="F38">
        <v>2010</v>
      </c>
      <c r="G38" t="str">
        <f t="shared" si="0"/>
        <v>Construction SOC2010</v>
      </c>
    </row>
    <row r="39" spans="1:7" x14ac:dyDescent="0.35">
      <c r="A39">
        <v>2432</v>
      </c>
      <c r="B39" t="str">
        <f>IF(F39=2020,INDEX(SOC2020_Structure!E:E,MATCH(sectorLookup!A39,SOC2020_Structure!D:D,0)),INDEX(SOC2010_Structure!E:E,MATCH(sectorLookup!A39,SOC2010_Structure!D:D,0)))</f>
        <v>Town planning officers</v>
      </c>
      <c r="C39" t="s">
        <v>237</v>
      </c>
      <c r="D39" t="str">
        <f>INDEX('group info'!B:B,MATCH(sectorLookup!C39,'group info'!A:A,0))</f>
        <v>Construction</v>
      </c>
      <c r="E39" t="s">
        <v>241</v>
      </c>
      <c r="F39">
        <v>2010</v>
      </c>
      <c r="G39" t="str">
        <f t="shared" si="0"/>
        <v>Construction SOC2010</v>
      </c>
    </row>
    <row r="40" spans="1:7" x14ac:dyDescent="0.35">
      <c r="A40">
        <v>2433</v>
      </c>
      <c r="B40" t="str">
        <f>IF(F40=2020,INDEX(SOC2020_Structure!E:E,MATCH(sectorLookup!A40,SOC2020_Structure!D:D,0)),INDEX(SOC2010_Structure!E:E,MATCH(sectorLookup!A40,SOC2010_Structure!D:D,0)))</f>
        <v>Quantity surveyors</v>
      </c>
      <c r="C40" t="s">
        <v>237</v>
      </c>
      <c r="D40" t="str">
        <f>INDEX('group info'!B:B,MATCH(sectorLookup!C40,'group info'!A:A,0))</f>
        <v>Construction</v>
      </c>
      <c r="E40" t="s">
        <v>241</v>
      </c>
      <c r="F40">
        <v>2010</v>
      </c>
      <c r="G40" t="str">
        <f t="shared" si="0"/>
        <v>Construction SOC2010</v>
      </c>
    </row>
    <row r="41" spans="1:7" x14ac:dyDescent="0.35">
      <c r="A41">
        <v>2434</v>
      </c>
      <c r="B41" t="str">
        <f>IF(F41=2020,INDEX(SOC2020_Structure!E:E,MATCH(sectorLookup!A41,SOC2020_Structure!D:D,0)),INDEX(SOC2010_Structure!E:E,MATCH(sectorLookup!A41,SOC2010_Structure!D:D,0)))</f>
        <v>Chartered surveyors</v>
      </c>
      <c r="C41" t="s">
        <v>237</v>
      </c>
      <c r="D41" t="str">
        <f>INDEX('group info'!B:B,MATCH(sectorLookup!C41,'group info'!A:A,0))</f>
        <v>Construction</v>
      </c>
      <c r="E41" t="s">
        <v>241</v>
      </c>
      <c r="F41">
        <v>2010</v>
      </c>
      <c r="G41" t="str">
        <f t="shared" si="0"/>
        <v>Construction SOC2010</v>
      </c>
    </row>
    <row r="42" spans="1:7" x14ac:dyDescent="0.35">
      <c r="A42">
        <v>2435</v>
      </c>
      <c r="B42" t="str">
        <f>IF(F42=2020,INDEX(SOC2020_Structure!E:E,MATCH(sectorLookup!A42,SOC2020_Structure!D:D,0)),INDEX(SOC2010_Structure!E:E,MATCH(sectorLookup!A42,SOC2010_Structure!D:D,0)))</f>
        <v>Chartered architectural technologists</v>
      </c>
      <c r="C42" t="s">
        <v>237</v>
      </c>
      <c r="D42" t="str">
        <f>INDEX('group info'!B:B,MATCH(sectorLookup!C42,'group info'!A:A,0))</f>
        <v>Construction</v>
      </c>
      <c r="E42" t="s">
        <v>241</v>
      </c>
      <c r="F42">
        <v>2010</v>
      </c>
      <c r="G42" t="str">
        <f t="shared" si="0"/>
        <v>Construction SOC2010</v>
      </c>
    </row>
    <row r="43" spans="1:7" x14ac:dyDescent="0.35">
      <c r="A43">
        <v>2436</v>
      </c>
      <c r="B43" t="str">
        <f>IF(F43=2020,INDEX(SOC2020_Structure!E:E,MATCH(sectorLookup!A43,SOC2020_Structure!D:D,0)),INDEX(SOC2010_Structure!E:E,MATCH(sectorLookup!A43,SOC2010_Structure!D:D,0)))</f>
        <v>Construction project managers and related professionals</v>
      </c>
      <c r="C43" t="s">
        <v>237</v>
      </c>
      <c r="D43" t="str">
        <f>INDEX('group info'!B:B,MATCH(sectorLookup!C43,'group info'!A:A,0))</f>
        <v>Construction</v>
      </c>
      <c r="E43" t="s">
        <v>241</v>
      </c>
      <c r="F43">
        <v>2010</v>
      </c>
      <c r="G43" t="str">
        <f t="shared" si="0"/>
        <v>Construction SOC2010</v>
      </c>
    </row>
    <row r="44" spans="1:7" x14ac:dyDescent="0.35">
      <c r="A44">
        <v>2442</v>
      </c>
      <c r="B44" t="str">
        <f>IF(F44=2020,INDEX(SOC2020_Structure!E:E,MATCH(sectorLookup!A44,SOC2020_Structure!D:D,0)),INDEX(SOC2010_Structure!E:E,MATCH(sectorLookup!A44,SOC2010_Structure!D:D,0)))</f>
        <v>Social workers</v>
      </c>
      <c r="C44" t="s">
        <v>240</v>
      </c>
      <c r="D44" t="str">
        <f>INDEX('group info'!B:B,MATCH(sectorLookup!C44,'group info'!A:A,0))</f>
        <v>Health and social care</v>
      </c>
      <c r="E44" t="s">
        <v>241</v>
      </c>
      <c r="F44">
        <v>2010</v>
      </c>
      <c r="G44" t="str">
        <f t="shared" si="0"/>
        <v>Health and social care SOC2010</v>
      </c>
    </row>
    <row r="45" spans="1:7" x14ac:dyDescent="0.35">
      <c r="A45">
        <v>2449</v>
      </c>
      <c r="B45" t="str">
        <f>IF(F45=2020,INDEX(SOC2020_Structure!E:E,MATCH(sectorLookup!A45,SOC2020_Structure!D:D,0)),INDEX(SOC2010_Structure!E:E,MATCH(sectorLookup!A45,SOC2010_Structure!D:D,0)))</f>
        <v>Welfare professionals n.e.c.</v>
      </c>
      <c r="C45" t="s">
        <v>240</v>
      </c>
      <c r="D45" t="str">
        <f>INDEX('group info'!B:B,MATCH(sectorLookup!C45,'group info'!A:A,0))</f>
        <v>Health and social care</v>
      </c>
      <c r="E45" t="s">
        <v>241</v>
      </c>
      <c r="F45">
        <v>2010</v>
      </c>
      <c r="G45" t="str">
        <f t="shared" si="0"/>
        <v>Health and social care SOC2010</v>
      </c>
    </row>
    <row r="46" spans="1:7" x14ac:dyDescent="0.35">
      <c r="A46">
        <v>2461</v>
      </c>
      <c r="B46" t="str">
        <f>IF(F46=2020,INDEX(SOC2020_Structure!E:E,MATCH(sectorLookup!A46,SOC2020_Structure!D:D,0)),INDEX(SOC2010_Structure!E:E,MATCH(sectorLookup!A46,SOC2010_Structure!D:D,0)))</f>
        <v>Quality control and planning engineers</v>
      </c>
      <c r="C46" t="s">
        <v>237</v>
      </c>
      <c r="D46" t="str">
        <f>INDEX('group info'!B:B,MATCH(sectorLookup!C46,'group info'!A:A,0))</f>
        <v>Construction</v>
      </c>
      <c r="E46" t="s">
        <v>241</v>
      </c>
      <c r="F46">
        <v>2010</v>
      </c>
      <c r="G46" t="str">
        <f t="shared" si="0"/>
        <v>Construction SOC2010</v>
      </c>
    </row>
    <row r="47" spans="1:7" x14ac:dyDescent="0.35">
      <c r="A47">
        <v>2463</v>
      </c>
      <c r="B47" t="str">
        <f>IF(F47=2020,INDEX(SOC2020_Structure!E:E,MATCH(sectorLookup!A47,SOC2020_Structure!D:D,0)),INDEX(SOC2010_Structure!E:E,MATCH(sectorLookup!A47,SOC2010_Structure!D:D,0)))</f>
        <v>Environmental health professionals</v>
      </c>
      <c r="C47" t="s">
        <v>240</v>
      </c>
      <c r="D47" t="str">
        <f>INDEX('group info'!B:B,MATCH(sectorLookup!C47,'group info'!A:A,0))</f>
        <v>Health and social care</v>
      </c>
      <c r="E47" t="s">
        <v>241</v>
      </c>
      <c r="F47">
        <v>2010</v>
      </c>
      <c r="G47" t="str">
        <f t="shared" si="0"/>
        <v>Health and social care SOC2010</v>
      </c>
    </row>
    <row r="48" spans="1:7" x14ac:dyDescent="0.35">
      <c r="A48">
        <v>3112</v>
      </c>
      <c r="B48" t="str">
        <f>IF(F48=2020,INDEX(SOC2020_Structure!E:E,MATCH(sectorLookup!A48,SOC2020_Structure!D:D,0)),INDEX(SOC2010_Structure!E:E,MATCH(sectorLookup!A48,SOC2010_Structure!D:D,0)))</f>
        <v>Electrical and electronics technicians</v>
      </c>
      <c r="C48" t="s">
        <v>237</v>
      </c>
      <c r="D48" t="str">
        <f>INDEX('group info'!B:B,MATCH(sectorLookup!C48,'group info'!A:A,0))</f>
        <v>Construction</v>
      </c>
      <c r="E48" t="s">
        <v>241</v>
      </c>
      <c r="F48">
        <v>2010</v>
      </c>
      <c r="G48" t="str">
        <f t="shared" si="0"/>
        <v>Construction SOC2010</v>
      </c>
    </row>
    <row r="49" spans="1:7" x14ac:dyDescent="0.35">
      <c r="A49">
        <v>3113</v>
      </c>
      <c r="B49" t="str">
        <f>IF(F49=2020,INDEX(SOC2020_Structure!E:E,MATCH(sectorLookup!A49,SOC2020_Structure!D:D,0)),INDEX(SOC2010_Structure!E:E,MATCH(sectorLookup!A49,SOC2010_Structure!D:D,0)))</f>
        <v>Engineering technicians</v>
      </c>
      <c r="C49" t="s">
        <v>237</v>
      </c>
      <c r="D49" t="str">
        <f>INDEX('group info'!B:B,MATCH(sectorLookup!C49,'group info'!A:A,0))</f>
        <v>Construction</v>
      </c>
      <c r="E49" t="s">
        <v>241</v>
      </c>
      <c r="F49">
        <v>2010</v>
      </c>
      <c r="G49" t="str">
        <f t="shared" si="0"/>
        <v>Construction SOC2010</v>
      </c>
    </row>
    <row r="50" spans="1:7" x14ac:dyDescent="0.35">
      <c r="A50">
        <v>3114</v>
      </c>
      <c r="B50" t="str">
        <f>IF(F50=2020,INDEX(SOC2020_Structure!E:E,MATCH(sectorLookup!A50,SOC2020_Structure!D:D,0)),INDEX(SOC2010_Structure!E:E,MATCH(sectorLookup!A50,SOC2010_Structure!D:D,0)))</f>
        <v>Building and civil engineering technicians</v>
      </c>
      <c r="C50" t="s">
        <v>237</v>
      </c>
      <c r="D50" t="str">
        <f>INDEX('group info'!B:B,MATCH(sectorLookup!C50,'group info'!A:A,0))</f>
        <v>Construction</v>
      </c>
      <c r="E50" t="s">
        <v>241</v>
      </c>
      <c r="F50">
        <v>2010</v>
      </c>
      <c r="G50" t="str">
        <f t="shared" si="0"/>
        <v>Construction SOC2010</v>
      </c>
    </row>
    <row r="51" spans="1:7" x14ac:dyDescent="0.35">
      <c r="A51">
        <v>3115</v>
      </c>
      <c r="B51" t="str">
        <f>IF(F51=2020,INDEX(SOC2020_Structure!E:E,MATCH(sectorLookup!A51,SOC2020_Structure!D:D,0)),INDEX(SOC2010_Structure!E:E,MATCH(sectorLookup!A51,SOC2010_Structure!D:D,0)))</f>
        <v>Quality assurance technicians</v>
      </c>
      <c r="C51" t="s">
        <v>237</v>
      </c>
      <c r="D51" t="str">
        <f>INDEX('group info'!B:B,MATCH(sectorLookup!C51,'group info'!A:A,0))</f>
        <v>Construction</v>
      </c>
      <c r="E51" t="s">
        <v>241</v>
      </c>
      <c r="F51">
        <v>2010</v>
      </c>
      <c r="G51" t="str">
        <f t="shared" si="0"/>
        <v>Construction SOC2010</v>
      </c>
    </row>
    <row r="52" spans="1:7" x14ac:dyDescent="0.35">
      <c r="A52">
        <v>3116</v>
      </c>
      <c r="B52" t="str">
        <f>IF(F52=2020,INDEX(SOC2020_Structure!E:E,MATCH(sectorLookup!A52,SOC2020_Structure!D:D,0)),INDEX(SOC2010_Structure!E:E,MATCH(sectorLookup!A52,SOC2010_Structure!D:D,0)))</f>
        <v>Planning, process and production technicians</v>
      </c>
      <c r="C52" t="s">
        <v>237</v>
      </c>
      <c r="D52" t="str">
        <f>INDEX('group info'!B:B,MATCH(sectorLookup!C52,'group info'!A:A,0))</f>
        <v>Construction</v>
      </c>
      <c r="E52" t="s">
        <v>241</v>
      </c>
      <c r="F52">
        <v>2010</v>
      </c>
      <c r="G52" t="str">
        <f t="shared" si="0"/>
        <v>Construction SOC2010</v>
      </c>
    </row>
    <row r="53" spans="1:7" x14ac:dyDescent="0.35">
      <c r="A53">
        <v>3119</v>
      </c>
      <c r="B53" t="str">
        <f>IF(F53=2020,INDEX(SOC2020_Structure!E:E,MATCH(sectorLookup!A53,SOC2020_Structure!D:D,0)),INDEX(SOC2010_Structure!E:E,MATCH(sectorLookup!A53,SOC2010_Structure!D:D,0)))</f>
        <v>Science, engineering and production technicians n.e.c.</v>
      </c>
      <c r="C53" t="s">
        <v>237</v>
      </c>
      <c r="D53" t="str">
        <f>INDEX('group info'!B:B,MATCH(sectorLookup!C53,'group info'!A:A,0))</f>
        <v>Construction</v>
      </c>
      <c r="E53" t="s">
        <v>241</v>
      </c>
      <c r="F53">
        <v>2010</v>
      </c>
      <c r="G53" t="str">
        <f t="shared" si="0"/>
        <v>Construction SOC2010</v>
      </c>
    </row>
    <row r="54" spans="1:7" x14ac:dyDescent="0.35">
      <c r="A54">
        <v>3121</v>
      </c>
      <c r="B54" t="str">
        <f>IF(F54=2020,INDEX(SOC2020_Structure!E:E,MATCH(sectorLookup!A54,SOC2020_Structure!D:D,0)),INDEX(SOC2010_Structure!E:E,MATCH(sectorLookup!A54,SOC2010_Structure!D:D,0)))</f>
        <v>Architectural and town planning technicians</v>
      </c>
      <c r="C54" t="s">
        <v>237</v>
      </c>
      <c r="D54" t="str">
        <f>INDEX('group info'!B:B,MATCH(sectorLookup!C54,'group info'!A:A,0))</f>
        <v>Construction</v>
      </c>
      <c r="E54" t="s">
        <v>241</v>
      </c>
      <c r="F54">
        <v>2010</v>
      </c>
      <c r="G54" t="str">
        <f t="shared" si="0"/>
        <v>Construction SOC2010</v>
      </c>
    </row>
    <row r="55" spans="1:7" x14ac:dyDescent="0.35">
      <c r="A55">
        <v>3122</v>
      </c>
      <c r="B55" t="str">
        <f>IF(F55=2020,INDEX(SOC2020_Structure!E:E,MATCH(sectorLookup!A55,SOC2020_Structure!D:D,0)),INDEX(SOC2010_Structure!E:E,MATCH(sectorLookup!A55,SOC2010_Structure!D:D,0)))</f>
        <v>Draughtspersons</v>
      </c>
      <c r="C55" t="s">
        <v>237</v>
      </c>
      <c r="D55" t="str">
        <f>INDEX('group info'!B:B,MATCH(sectorLookup!C55,'group info'!A:A,0))</f>
        <v>Construction</v>
      </c>
      <c r="E55" t="s">
        <v>241</v>
      </c>
      <c r="F55">
        <v>2010</v>
      </c>
      <c r="G55" t="str">
        <f t="shared" si="0"/>
        <v>Construction SOC2010</v>
      </c>
    </row>
    <row r="56" spans="1:7" x14ac:dyDescent="0.35">
      <c r="A56">
        <v>3131</v>
      </c>
      <c r="B56" t="str">
        <f>IF(F56=2020,INDEX(SOC2020_Structure!E:E,MATCH(sectorLookup!A56,SOC2020_Structure!D:D,0)),INDEX(SOC2010_Structure!E:E,MATCH(sectorLookup!A56,SOC2010_Structure!D:D,0)))</f>
        <v>IT operations technicians</v>
      </c>
      <c r="C56" t="s">
        <v>238</v>
      </c>
      <c r="D56" t="str">
        <f>INDEX('group info'!B:B,MATCH(sectorLookup!C56,'group info'!A:A,0))</f>
        <v>Digital and technology</v>
      </c>
      <c r="E56" t="s">
        <v>241</v>
      </c>
      <c r="F56">
        <v>2010</v>
      </c>
      <c r="G56" t="str">
        <f t="shared" si="0"/>
        <v>Digital and technology SOC2010</v>
      </c>
    </row>
    <row r="57" spans="1:7" x14ac:dyDescent="0.35">
      <c r="A57">
        <v>3132</v>
      </c>
      <c r="B57" t="str">
        <f>IF(F57=2020,INDEX(SOC2020_Structure!E:E,MATCH(sectorLookup!A57,SOC2020_Structure!D:D,0)),INDEX(SOC2010_Structure!E:E,MATCH(sectorLookup!A57,SOC2010_Structure!D:D,0)))</f>
        <v>IT user support technicians</v>
      </c>
      <c r="C57" t="s">
        <v>238</v>
      </c>
      <c r="D57" t="str">
        <f>INDEX('group info'!B:B,MATCH(sectorLookup!C57,'group info'!A:A,0))</f>
        <v>Digital and technology</v>
      </c>
      <c r="E57" t="s">
        <v>241</v>
      </c>
      <c r="F57">
        <v>2010</v>
      </c>
      <c r="G57" t="str">
        <f t="shared" si="0"/>
        <v>Digital and technology SOC2010</v>
      </c>
    </row>
    <row r="58" spans="1:7" x14ac:dyDescent="0.35">
      <c r="A58">
        <v>3213</v>
      </c>
      <c r="B58" t="str">
        <f>IF(F58=2020,INDEX(SOC2020_Structure!E:E,MATCH(sectorLookup!A58,SOC2020_Structure!D:D,0)),INDEX(SOC2010_Structure!E:E,MATCH(sectorLookup!A58,SOC2010_Structure!D:D,0)))</f>
        <v>Paramedics</v>
      </c>
      <c r="C58" t="s">
        <v>240</v>
      </c>
      <c r="D58" t="str">
        <f>INDEX('group info'!B:B,MATCH(sectorLookup!C58,'group info'!A:A,0))</f>
        <v>Health and social care</v>
      </c>
      <c r="E58" t="s">
        <v>241</v>
      </c>
      <c r="F58">
        <v>2010</v>
      </c>
      <c r="G58" t="str">
        <f t="shared" si="0"/>
        <v>Health and social care SOC2010</v>
      </c>
    </row>
    <row r="59" spans="1:7" x14ac:dyDescent="0.35">
      <c r="A59">
        <v>3216</v>
      </c>
      <c r="B59" t="str">
        <f>IF(F59=2020,INDEX(SOC2020_Structure!E:E,MATCH(sectorLookup!A59,SOC2020_Structure!D:D,0)),INDEX(SOC2010_Structure!E:E,MATCH(sectorLookup!A59,SOC2010_Structure!D:D,0)))</f>
        <v>Dispensing opticians</v>
      </c>
      <c r="C59" t="s">
        <v>240</v>
      </c>
      <c r="D59" t="str">
        <f>INDEX('group info'!B:B,MATCH(sectorLookup!C59,'group info'!A:A,0))</f>
        <v>Health and social care</v>
      </c>
      <c r="E59" t="s">
        <v>241</v>
      </c>
      <c r="F59">
        <v>2010</v>
      </c>
      <c r="G59" t="str">
        <f t="shared" si="0"/>
        <v>Health and social care SOC2010</v>
      </c>
    </row>
    <row r="60" spans="1:7" x14ac:dyDescent="0.35">
      <c r="A60">
        <v>3217</v>
      </c>
      <c r="B60" t="str">
        <f>IF(F60=2020,INDEX(SOC2020_Structure!E:E,MATCH(sectorLookup!A60,SOC2020_Structure!D:D,0)),INDEX(SOC2010_Structure!E:E,MATCH(sectorLookup!A60,SOC2010_Structure!D:D,0)))</f>
        <v>Pharmaceutical technicians</v>
      </c>
      <c r="C60" t="s">
        <v>240</v>
      </c>
      <c r="D60" t="str">
        <f>INDEX('group info'!B:B,MATCH(sectorLookup!C60,'group info'!A:A,0))</f>
        <v>Health and social care</v>
      </c>
      <c r="E60" t="s">
        <v>241</v>
      </c>
      <c r="F60">
        <v>2010</v>
      </c>
      <c r="G60" t="str">
        <f t="shared" si="0"/>
        <v>Health and social care SOC2010</v>
      </c>
    </row>
    <row r="61" spans="1:7" x14ac:dyDescent="0.35">
      <c r="A61">
        <v>3218</v>
      </c>
      <c r="B61" t="str">
        <f>IF(F61=2020,INDEX(SOC2020_Structure!E:E,MATCH(sectorLookup!A61,SOC2020_Structure!D:D,0)),INDEX(SOC2010_Structure!E:E,MATCH(sectorLookup!A61,SOC2010_Structure!D:D,0)))</f>
        <v>Medical and dental technicians</v>
      </c>
      <c r="C61" t="s">
        <v>240</v>
      </c>
      <c r="D61" t="str">
        <f>INDEX('group info'!B:B,MATCH(sectorLookup!C61,'group info'!A:A,0))</f>
        <v>Health and social care</v>
      </c>
      <c r="E61" t="s">
        <v>241</v>
      </c>
      <c r="F61">
        <v>2010</v>
      </c>
      <c r="G61" t="str">
        <f t="shared" si="0"/>
        <v>Health and social care SOC2010</v>
      </c>
    </row>
    <row r="62" spans="1:7" x14ac:dyDescent="0.35">
      <c r="A62">
        <v>3219</v>
      </c>
      <c r="B62" t="str">
        <f>IF(F62=2020,INDEX(SOC2020_Structure!E:E,MATCH(sectorLookup!A62,SOC2020_Structure!D:D,0)),INDEX(SOC2010_Structure!E:E,MATCH(sectorLookup!A62,SOC2010_Structure!D:D,0)))</f>
        <v>Health associate professionals n.e.c.</v>
      </c>
      <c r="C62" t="s">
        <v>240</v>
      </c>
      <c r="D62" t="str">
        <f>INDEX('group info'!B:B,MATCH(sectorLookup!C62,'group info'!A:A,0))</f>
        <v>Health and social care</v>
      </c>
      <c r="E62" t="s">
        <v>241</v>
      </c>
      <c r="F62">
        <v>2010</v>
      </c>
      <c r="G62" t="str">
        <f t="shared" si="0"/>
        <v>Health and social care SOC2010</v>
      </c>
    </row>
    <row r="63" spans="1:7" x14ac:dyDescent="0.35">
      <c r="A63">
        <v>3231</v>
      </c>
      <c r="B63" t="str">
        <f>IF(F63=2020,INDEX(SOC2020_Structure!E:E,MATCH(sectorLookup!A63,SOC2020_Structure!D:D,0)),INDEX(SOC2010_Structure!E:E,MATCH(sectorLookup!A63,SOC2010_Structure!D:D,0)))</f>
        <v>Youth and community workers</v>
      </c>
      <c r="C63" t="s">
        <v>240</v>
      </c>
      <c r="D63" t="str">
        <f>INDEX('group info'!B:B,MATCH(sectorLookup!C63,'group info'!A:A,0))</f>
        <v>Health and social care</v>
      </c>
      <c r="E63" t="s">
        <v>241</v>
      </c>
      <c r="F63">
        <v>2010</v>
      </c>
      <c r="G63" t="str">
        <f t="shared" si="0"/>
        <v>Health and social care SOC2010</v>
      </c>
    </row>
    <row r="64" spans="1:7" x14ac:dyDescent="0.35">
      <c r="A64">
        <v>3235</v>
      </c>
      <c r="B64" t="str">
        <f>IF(F64=2020,INDEX(SOC2020_Structure!E:E,MATCH(sectorLookup!A64,SOC2020_Structure!D:D,0)),INDEX(SOC2010_Structure!E:E,MATCH(sectorLookup!A64,SOC2010_Structure!D:D,0)))</f>
        <v>Counsellors</v>
      </c>
      <c r="C64" t="s">
        <v>240</v>
      </c>
      <c r="D64" t="str">
        <f>INDEX('group info'!B:B,MATCH(sectorLookup!C64,'group info'!A:A,0))</f>
        <v>Health and social care</v>
      </c>
      <c r="E64" t="s">
        <v>241</v>
      </c>
      <c r="F64">
        <v>2010</v>
      </c>
      <c r="G64" t="str">
        <f t="shared" si="0"/>
        <v>Health and social care SOC2010</v>
      </c>
    </row>
    <row r="65" spans="1:7" x14ac:dyDescent="0.35">
      <c r="A65">
        <v>3511</v>
      </c>
      <c r="B65" t="str">
        <f>IF(F65=2020,INDEX(SOC2020_Structure!E:E,MATCH(sectorLookup!A65,SOC2020_Structure!D:D,0)),INDEX(SOC2010_Structure!E:E,MATCH(sectorLookup!A65,SOC2010_Structure!D:D,0)))</f>
        <v>Air traffic controllers</v>
      </c>
      <c r="C65" t="s">
        <v>239</v>
      </c>
      <c r="D65" t="str">
        <f>INDEX('group info'!B:B,MATCH(sectorLookup!C65,'group info'!A:A,0))</f>
        <v>Haulage and logistics</v>
      </c>
      <c r="E65" t="s">
        <v>241</v>
      </c>
      <c r="F65">
        <v>2010</v>
      </c>
      <c r="G65" t="str">
        <f t="shared" si="0"/>
        <v>Haulage and logistics SOC2010</v>
      </c>
    </row>
    <row r="66" spans="1:7" x14ac:dyDescent="0.35">
      <c r="A66">
        <v>3512</v>
      </c>
      <c r="B66" t="str">
        <f>IF(F66=2020,INDEX(SOC2020_Structure!E:E,MATCH(sectorLookup!A66,SOC2020_Structure!D:D,0)),INDEX(SOC2010_Structure!E:E,MATCH(sectorLookup!A66,SOC2010_Structure!D:D,0)))</f>
        <v>Aircraft pilots and flight engineers</v>
      </c>
      <c r="C66" t="s">
        <v>239</v>
      </c>
      <c r="D66" t="str">
        <f>INDEX('group info'!B:B,MATCH(sectorLookup!C66,'group info'!A:A,0))</f>
        <v>Haulage and logistics</v>
      </c>
      <c r="E66" t="s">
        <v>241</v>
      </c>
      <c r="F66">
        <v>2010</v>
      </c>
      <c r="G66" t="str">
        <f t="shared" si="0"/>
        <v>Haulage and logistics SOC2010</v>
      </c>
    </row>
    <row r="67" spans="1:7" x14ac:dyDescent="0.35">
      <c r="A67">
        <v>3513</v>
      </c>
      <c r="B67" t="str">
        <f>IF(F67=2020,INDEX(SOC2020_Structure!E:E,MATCH(sectorLookup!A67,SOC2020_Structure!D:D,0)),INDEX(SOC2010_Structure!E:E,MATCH(sectorLookup!A67,SOC2010_Structure!D:D,0)))</f>
        <v>Ship and hovercraft officers</v>
      </c>
      <c r="C67" t="s">
        <v>239</v>
      </c>
      <c r="D67" t="str">
        <f>INDEX('group info'!B:B,MATCH(sectorLookup!C67,'group info'!A:A,0))</f>
        <v>Haulage and logistics</v>
      </c>
      <c r="E67" t="s">
        <v>241</v>
      </c>
      <c r="F67">
        <v>2010</v>
      </c>
      <c r="G67" t="str">
        <f t="shared" ref="G67:G130" si="1">D67&amp;" SOC"&amp;F67</f>
        <v>Haulage and logistics SOC2010</v>
      </c>
    </row>
    <row r="68" spans="1:7" x14ac:dyDescent="0.35">
      <c r="A68">
        <v>5211</v>
      </c>
      <c r="B68" t="str">
        <f>IF(F68=2020,INDEX(SOC2020_Structure!E:E,MATCH(sectorLookup!A68,SOC2020_Structure!D:D,0)),INDEX(SOC2010_Structure!E:E,MATCH(sectorLookup!A68,SOC2010_Structure!D:D,0)))</f>
        <v>Smiths and forge workers</v>
      </c>
      <c r="C68" t="s">
        <v>237</v>
      </c>
      <c r="D68" t="str">
        <f>INDEX('group info'!B:B,MATCH(sectorLookup!C68,'group info'!A:A,0))</f>
        <v>Construction</v>
      </c>
      <c r="E68" t="s">
        <v>241</v>
      </c>
      <c r="F68">
        <v>2010</v>
      </c>
      <c r="G68" t="str">
        <f t="shared" si="1"/>
        <v>Construction SOC2010</v>
      </c>
    </row>
    <row r="69" spans="1:7" x14ac:dyDescent="0.35">
      <c r="A69">
        <v>5212</v>
      </c>
      <c r="B69" t="str">
        <f>IF(F69=2020,INDEX(SOC2020_Structure!E:E,MATCH(sectorLookup!A69,SOC2020_Structure!D:D,0)),INDEX(SOC2010_Structure!E:E,MATCH(sectorLookup!A69,SOC2010_Structure!D:D,0)))</f>
        <v>Moulders, core makers and die casters</v>
      </c>
      <c r="C69" t="s">
        <v>237</v>
      </c>
      <c r="D69" t="str">
        <f>INDEX('group info'!B:B,MATCH(sectorLookup!C69,'group info'!A:A,0))</f>
        <v>Construction</v>
      </c>
      <c r="E69" t="s">
        <v>241</v>
      </c>
      <c r="F69">
        <v>2010</v>
      </c>
      <c r="G69" t="str">
        <f t="shared" si="1"/>
        <v>Construction SOC2010</v>
      </c>
    </row>
    <row r="70" spans="1:7" x14ac:dyDescent="0.35">
      <c r="A70">
        <v>5213</v>
      </c>
      <c r="B70" t="str">
        <f>IF(F70=2020,INDEX(SOC2020_Structure!E:E,MATCH(sectorLookup!A70,SOC2020_Structure!D:D,0)),INDEX(SOC2010_Structure!E:E,MATCH(sectorLookup!A70,SOC2010_Structure!D:D,0)))</f>
        <v>Sheet metal workers</v>
      </c>
      <c r="C70" t="s">
        <v>237</v>
      </c>
      <c r="D70" t="str">
        <f>INDEX('group info'!B:B,MATCH(sectorLookup!C70,'group info'!A:A,0))</f>
        <v>Construction</v>
      </c>
      <c r="E70" t="s">
        <v>241</v>
      </c>
      <c r="F70">
        <v>2010</v>
      </c>
      <c r="G70" t="str">
        <f t="shared" si="1"/>
        <v>Construction SOC2010</v>
      </c>
    </row>
    <row r="71" spans="1:7" x14ac:dyDescent="0.35">
      <c r="A71">
        <v>5214</v>
      </c>
      <c r="B71" t="str">
        <f>IF(F71=2020,INDEX(SOC2020_Structure!E:E,MATCH(sectorLookup!A71,SOC2020_Structure!D:D,0)),INDEX(SOC2010_Structure!E:E,MATCH(sectorLookup!A71,SOC2010_Structure!D:D,0)))</f>
        <v>Metal plate workers, and riveters</v>
      </c>
      <c r="C71" t="s">
        <v>237</v>
      </c>
      <c r="D71" t="str">
        <f>INDEX('group info'!B:B,MATCH(sectorLookup!C71,'group info'!A:A,0))</f>
        <v>Construction</v>
      </c>
      <c r="E71" t="s">
        <v>241</v>
      </c>
      <c r="F71">
        <v>2010</v>
      </c>
      <c r="G71" t="str">
        <f t="shared" si="1"/>
        <v>Construction SOC2010</v>
      </c>
    </row>
    <row r="72" spans="1:7" x14ac:dyDescent="0.35">
      <c r="A72">
        <v>5215</v>
      </c>
      <c r="B72" t="str">
        <f>IF(F72=2020,INDEX(SOC2020_Structure!E:E,MATCH(sectorLookup!A72,SOC2020_Structure!D:D,0)),INDEX(SOC2010_Structure!E:E,MATCH(sectorLookup!A72,SOC2010_Structure!D:D,0)))</f>
        <v>Welding trades</v>
      </c>
      <c r="C72" t="s">
        <v>237</v>
      </c>
      <c r="D72" t="str">
        <f>INDEX('group info'!B:B,MATCH(sectorLookup!C72,'group info'!A:A,0))</f>
        <v>Construction</v>
      </c>
      <c r="E72" t="s">
        <v>241</v>
      </c>
      <c r="F72">
        <v>2010</v>
      </c>
      <c r="G72" t="str">
        <f t="shared" si="1"/>
        <v>Construction SOC2010</v>
      </c>
    </row>
    <row r="73" spans="1:7" x14ac:dyDescent="0.35">
      <c r="A73">
        <v>5216</v>
      </c>
      <c r="B73" t="str">
        <f>IF(F73=2020,INDEX(SOC2020_Structure!E:E,MATCH(sectorLookup!A73,SOC2020_Structure!D:D,0)),INDEX(SOC2010_Structure!E:E,MATCH(sectorLookup!A73,SOC2010_Structure!D:D,0)))</f>
        <v>Pipe fitters</v>
      </c>
      <c r="C73" t="s">
        <v>237</v>
      </c>
      <c r="D73" t="str">
        <f>INDEX('group info'!B:B,MATCH(sectorLookup!C73,'group info'!A:A,0))</f>
        <v>Construction</v>
      </c>
      <c r="E73" t="s">
        <v>241</v>
      </c>
      <c r="F73">
        <v>2010</v>
      </c>
      <c r="G73" t="str">
        <f t="shared" si="1"/>
        <v>Construction SOC2010</v>
      </c>
    </row>
    <row r="74" spans="1:7" x14ac:dyDescent="0.35">
      <c r="A74">
        <v>5221</v>
      </c>
      <c r="B74" t="str">
        <f>IF(F74=2020,INDEX(SOC2020_Structure!E:E,MATCH(sectorLookup!A74,SOC2020_Structure!D:D,0)),INDEX(SOC2010_Structure!E:E,MATCH(sectorLookup!A74,SOC2010_Structure!D:D,0)))</f>
        <v>Metal machining setters and setter-operators</v>
      </c>
      <c r="C74" t="s">
        <v>237</v>
      </c>
      <c r="D74" t="str">
        <f>INDEX('group info'!B:B,MATCH(sectorLookup!C74,'group info'!A:A,0))</f>
        <v>Construction</v>
      </c>
      <c r="E74" t="s">
        <v>241</v>
      </c>
      <c r="F74">
        <v>2010</v>
      </c>
      <c r="G74" t="str">
        <f t="shared" si="1"/>
        <v>Construction SOC2010</v>
      </c>
    </row>
    <row r="75" spans="1:7" x14ac:dyDescent="0.35">
      <c r="A75">
        <v>5222</v>
      </c>
      <c r="B75" t="str">
        <f>IF(F75=2020,INDEX(SOC2020_Structure!E:E,MATCH(sectorLookup!A75,SOC2020_Structure!D:D,0)),INDEX(SOC2010_Structure!E:E,MATCH(sectorLookup!A75,SOC2010_Structure!D:D,0)))</f>
        <v>Tool makers, tool fitters and markers-out</v>
      </c>
      <c r="C75" t="s">
        <v>237</v>
      </c>
      <c r="D75" t="str">
        <f>INDEX('group info'!B:B,MATCH(sectorLookup!C75,'group info'!A:A,0))</f>
        <v>Construction</v>
      </c>
      <c r="E75" t="s">
        <v>241</v>
      </c>
      <c r="F75">
        <v>2010</v>
      </c>
      <c r="G75" t="str">
        <f t="shared" si="1"/>
        <v>Construction SOC2010</v>
      </c>
    </row>
    <row r="76" spans="1:7" x14ac:dyDescent="0.35">
      <c r="A76">
        <v>5223</v>
      </c>
      <c r="B76" t="str">
        <f>IF(F76=2020,INDEX(SOC2020_Structure!E:E,MATCH(sectorLookup!A76,SOC2020_Structure!D:D,0)),INDEX(SOC2010_Structure!E:E,MATCH(sectorLookup!A76,SOC2010_Structure!D:D,0)))</f>
        <v>Metal working production and maintenance fitters</v>
      </c>
      <c r="C76" t="s">
        <v>237</v>
      </c>
      <c r="D76" t="str">
        <f>INDEX('group info'!B:B,MATCH(sectorLookup!C76,'group info'!A:A,0))</f>
        <v>Construction</v>
      </c>
      <c r="E76" t="s">
        <v>241</v>
      </c>
      <c r="F76">
        <v>2010</v>
      </c>
      <c r="G76" t="str">
        <f t="shared" si="1"/>
        <v>Construction SOC2010</v>
      </c>
    </row>
    <row r="77" spans="1:7" x14ac:dyDescent="0.35">
      <c r="A77">
        <v>5224</v>
      </c>
      <c r="B77" t="str">
        <f>IF(F77=2020,INDEX(SOC2020_Structure!E:E,MATCH(sectorLookup!A77,SOC2020_Structure!D:D,0)),INDEX(SOC2010_Structure!E:E,MATCH(sectorLookup!A77,SOC2010_Structure!D:D,0)))</f>
        <v>Precision instrument makers and repairers</v>
      </c>
      <c r="C77" t="s">
        <v>237</v>
      </c>
      <c r="D77" t="str">
        <f>INDEX('group info'!B:B,MATCH(sectorLookup!C77,'group info'!A:A,0))</f>
        <v>Construction</v>
      </c>
      <c r="E77" t="s">
        <v>241</v>
      </c>
      <c r="F77">
        <v>2010</v>
      </c>
      <c r="G77" t="str">
        <f t="shared" si="1"/>
        <v>Construction SOC2010</v>
      </c>
    </row>
    <row r="78" spans="1:7" x14ac:dyDescent="0.35">
      <c r="A78">
        <v>5225</v>
      </c>
      <c r="B78" t="str">
        <f>IF(F78=2020,INDEX(SOC2020_Structure!E:E,MATCH(sectorLookup!A78,SOC2020_Structure!D:D,0)),INDEX(SOC2010_Structure!E:E,MATCH(sectorLookup!A78,SOC2010_Structure!D:D,0)))</f>
        <v>Air-conditioning and refrigeration engineers</v>
      </c>
      <c r="C78" t="s">
        <v>237</v>
      </c>
      <c r="D78" t="str">
        <f>INDEX('group info'!B:B,MATCH(sectorLookup!C78,'group info'!A:A,0))</f>
        <v>Construction</v>
      </c>
      <c r="E78" t="s">
        <v>241</v>
      </c>
      <c r="F78">
        <v>2010</v>
      </c>
      <c r="G78" t="str">
        <f t="shared" si="1"/>
        <v>Construction SOC2010</v>
      </c>
    </row>
    <row r="79" spans="1:7" x14ac:dyDescent="0.35">
      <c r="A79">
        <v>5231</v>
      </c>
      <c r="B79" t="str">
        <f>IF(F79=2020,INDEX(SOC2020_Structure!E:E,MATCH(sectorLookup!A79,SOC2020_Structure!D:D,0)),INDEX(SOC2010_Structure!E:E,MATCH(sectorLookup!A79,SOC2010_Structure!D:D,0)))</f>
        <v>Vehicle technicians, mechanics and electricians</v>
      </c>
      <c r="C79" t="s">
        <v>239</v>
      </c>
      <c r="D79" t="str">
        <f>INDEX('group info'!B:B,MATCH(sectorLookup!C79,'group info'!A:A,0))</f>
        <v>Haulage and logistics</v>
      </c>
      <c r="E79" t="s">
        <v>241</v>
      </c>
      <c r="F79">
        <v>2010</v>
      </c>
      <c r="G79" t="str">
        <f t="shared" si="1"/>
        <v>Haulage and logistics SOC2010</v>
      </c>
    </row>
    <row r="80" spans="1:7" x14ac:dyDescent="0.35">
      <c r="A80">
        <v>5232</v>
      </c>
      <c r="B80" t="str">
        <f>IF(F80=2020,INDEX(SOC2020_Structure!E:E,MATCH(sectorLookup!A80,SOC2020_Structure!D:D,0)),INDEX(SOC2010_Structure!E:E,MATCH(sectorLookup!A80,SOC2010_Structure!D:D,0)))</f>
        <v xml:space="preserve">Vehicle body builders and repairers </v>
      </c>
      <c r="C80" t="s">
        <v>239</v>
      </c>
      <c r="D80" t="str">
        <f>INDEX('group info'!B:B,MATCH(sectorLookup!C80,'group info'!A:A,0))</f>
        <v>Haulage and logistics</v>
      </c>
      <c r="E80" t="s">
        <v>241</v>
      </c>
      <c r="F80">
        <v>2010</v>
      </c>
      <c r="G80" t="str">
        <f t="shared" si="1"/>
        <v>Haulage and logistics SOC2010</v>
      </c>
    </row>
    <row r="81" spans="1:7" x14ac:dyDescent="0.35">
      <c r="A81">
        <v>5234</v>
      </c>
      <c r="B81" t="str">
        <f>IF(F81=2020,INDEX(SOC2020_Structure!E:E,MATCH(sectorLookup!A81,SOC2020_Structure!D:D,0)),INDEX(SOC2010_Structure!E:E,MATCH(sectorLookup!A81,SOC2010_Structure!D:D,0)))</f>
        <v>Vehicle paint technicians</v>
      </c>
      <c r="C81" t="s">
        <v>239</v>
      </c>
      <c r="D81" t="str">
        <f>INDEX('group info'!B:B,MATCH(sectorLookup!C81,'group info'!A:A,0))</f>
        <v>Haulage and logistics</v>
      </c>
      <c r="E81" t="s">
        <v>241</v>
      </c>
      <c r="F81">
        <v>2010</v>
      </c>
      <c r="G81" t="str">
        <f t="shared" si="1"/>
        <v>Haulage and logistics SOC2010</v>
      </c>
    </row>
    <row r="82" spans="1:7" x14ac:dyDescent="0.35">
      <c r="A82">
        <v>5235</v>
      </c>
      <c r="B82" t="str">
        <f>IF(F82=2020,INDEX(SOC2020_Structure!E:E,MATCH(sectorLookup!A82,SOC2020_Structure!D:D,0)),INDEX(SOC2010_Structure!E:E,MATCH(sectorLookup!A82,SOC2010_Structure!D:D,0)))</f>
        <v>Aircraft maintenance and related trades</v>
      </c>
      <c r="C82" t="s">
        <v>237</v>
      </c>
      <c r="D82" t="str">
        <f>INDEX('group info'!B:B,MATCH(sectorLookup!C82,'group info'!A:A,0))</f>
        <v>Construction</v>
      </c>
      <c r="E82" t="s">
        <v>241</v>
      </c>
      <c r="F82">
        <v>2010</v>
      </c>
      <c r="G82" t="str">
        <f t="shared" si="1"/>
        <v>Construction SOC2010</v>
      </c>
    </row>
    <row r="83" spans="1:7" x14ac:dyDescent="0.35">
      <c r="A83">
        <v>5236</v>
      </c>
      <c r="B83" t="str">
        <f>IF(F83=2020,INDEX(SOC2020_Structure!E:E,MATCH(sectorLookup!A83,SOC2020_Structure!D:D,0)),INDEX(SOC2010_Structure!E:E,MATCH(sectorLookup!A83,SOC2010_Structure!D:D,0)))</f>
        <v>Boat and ship builders and repairers</v>
      </c>
      <c r="C83" t="s">
        <v>237</v>
      </c>
      <c r="D83" t="str">
        <f>INDEX('group info'!B:B,MATCH(sectorLookup!C83,'group info'!A:A,0))</f>
        <v>Construction</v>
      </c>
      <c r="E83" t="s">
        <v>241</v>
      </c>
      <c r="F83">
        <v>2010</v>
      </c>
      <c r="G83" t="str">
        <f t="shared" si="1"/>
        <v>Construction SOC2010</v>
      </c>
    </row>
    <row r="84" spans="1:7" x14ac:dyDescent="0.35">
      <c r="A84">
        <v>5237</v>
      </c>
      <c r="B84" t="str">
        <f>IF(F84=2020,INDEX(SOC2020_Structure!E:E,MATCH(sectorLookup!A84,SOC2020_Structure!D:D,0)),INDEX(SOC2010_Structure!E:E,MATCH(sectorLookup!A84,SOC2010_Structure!D:D,0)))</f>
        <v>Rail and rolling stock builders and repairers</v>
      </c>
      <c r="C84" t="s">
        <v>239</v>
      </c>
      <c r="D84" t="str">
        <f>INDEX('group info'!B:B,MATCH(sectorLookup!C84,'group info'!A:A,0))</f>
        <v>Haulage and logistics</v>
      </c>
      <c r="E84" t="s">
        <v>241</v>
      </c>
      <c r="F84">
        <v>2010</v>
      </c>
      <c r="G84" t="str">
        <f t="shared" si="1"/>
        <v>Haulage and logistics SOC2010</v>
      </c>
    </row>
    <row r="85" spans="1:7" x14ac:dyDescent="0.35">
      <c r="A85">
        <v>5241</v>
      </c>
      <c r="B85" t="str">
        <f>IF(F85=2020,INDEX(SOC2020_Structure!E:E,MATCH(sectorLookup!A85,SOC2020_Structure!D:D,0)),INDEX(SOC2010_Structure!E:E,MATCH(sectorLookup!A85,SOC2010_Structure!D:D,0)))</f>
        <v>Electricians and electrical fitters</v>
      </c>
      <c r="C85" t="s">
        <v>237</v>
      </c>
      <c r="D85" t="str">
        <f>INDEX('group info'!B:B,MATCH(sectorLookup!C85,'group info'!A:A,0))</f>
        <v>Construction</v>
      </c>
      <c r="E85" t="s">
        <v>241</v>
      </c>
      <c r="F85">
        <v>2010</v>
      </c>
      <c r="G85" t="str">
        <f t="shared" si="1"/>
        <v>Construction SOC2010</v>
      </c>
    </row>
    <row r="86" spans="1:7" x14ac:dyDescent="0.35">
      <c r="A86">
        <v>5242</v>
      </c>
      <c r="B86" t="str">
        <f>IF(F86=2020,INDEX(SOC2020_Structure!E:E,MATCH(sectorLookup!A86,SOC2020_Structure!D:D,0)),INDEX(SOC2010_Structure!E:E,MATCH(sectorLookup!A86,SOC2010_Structure!D:D,0)))</f>
        <v>Telecommunications engineers</v>
      </c>
      <c r="C86" t="s">
        <v>238</v>
      </c>
      <c r="D86" t="str">
        <f>INDEX('group info'!B:B,MATCH(sectorLookup!C86,'group info'!A:A,0))</f>
        <v>Digital and technology</v>
      </c>
      <c r="E86" t="s">
        <v>241</v>
      </c>
      <c r="F86">
        <v>2010</v>
      </c>
      <c r="G86" t="str">
        <f t="shared" si="1"/>
        <v>Digital and technology SOC2010</v>
      </c>
    </row>
    <row r="87" spans="1:7" x14ac:dyDescent="0.35">
      <c r="A87">
        <v>5244</v>
      </c>
      <c r="B87" t="str">
        <f>IF(F87=2020,INDEX(SOC2020_Structure!E:E,MATCH(sectorLookup!A87,SOC2020_Structure!D:D,0)),INDEX(SOC2010_Structure!E:E,MATCH(sectorLookup!A87,SOC2010_Structure!D:D,0)))</f>
        <v>TV, video and audio engineers</v>
      </c>
      <c r="C87" t="s">
        <v>237</v>
      </c>
      <c r="D87" t="str">
        <f>INDEX('group info'!B:B,MATCH(sectorLookup!C87,'group info'!A:A,0))</f>
        <v>Construction</v>
      </c>
      <c r="E87" t="s">
        <v>241</v>
      </c>
      <c r="F87">
        <v>2010</v>
      </c>
      <c r="G87" t="str">
        <f t="shared" si="1"/>
        <v>Construction SOC2010</v>
      </c>
    </row>
    <row r="88" spans="1:7" x14ac:dyDescent="0.35">
      <c r="A88">
        <v>5245</v>
      </c>
      <c r="B88" t="str">
        <f>IF(F88=2020,INDEX(SOC2020_Structure!E:E,MATCH(sectorLookup!A88,SOC2020_Structure!D:D,0)),INDEX(SOC2010_Structure!E:E,MATCH(sectorLookup!A88,SOC2010_Structure!D:D,0)))</f>
        <v>IT engineers</v>
      </c>
      <c r="C88" t="s">
        <v>238</v>
      </c>
      <c r="D88" t="str">
        <f>INDEX('group info'!B:B,MATCH(sectorLookup!C88,'group info'!A:A,0))</f>
        <v>Digital and technology</v>
      </c>
      <c r="E88" t="s">
        <v>241</v>
      </c>
      <c r="F88">
        <v>2010</v>
      </c>
      <c r="G88" t="str">
        <f t="shared" si="1"/>
        <v>Digital and technology SOC2010</v>
      </c>
    </row>
    <row r="89" spans="1:7" x14ac:dyDescent="0.35">
      <c r="A89">
        <v>5249</v>
      </c>
      <c r="B89" t="str">
        <f>IF(F89=2020,INDEX(SOC2020_Structure!E:E,MATCH(sectorLookup!A89,SOC2020_Structure!D:D,0)),INDEX(SOC2010_Structure!E:E,MATCH(sectorLookup!A89,SOC2010_Structure!D:D,0)))</f>
        <v>Electrical and electronic trades n.e.c.</v>
      </c>
      <c r="C89" t="s">
        <v>237</v>
      </c>
      <c r="D89" t="str">
        <f>INDEX('group info'!B:B,MATCH(sectorLookup!C89,'group info'!A:A,0))</f>
        <v>Construction</v>
      </c>
      <c r="E89" t="s">
        <v>241</v>
      </c>
      <c r="F89">
        <v>2010</v>
      </c>
      <c r="G89" t="str">
        <f t="shared" si="1"/>
        <v>Construction SOC2010</v>
      </c>
    </row>
    <row r="90" spans="1:7" x14ac:dyDescent="0.35">
      <c r="A90">
        <v>5250</v>
      </c>
      <c r="B90" t="str">
        <f>IF(F90=2020,INDEX(SOC2020_Structure!E:E,MATCH(sectorLookup!A90,SOC2020_Structure!D:D,0)),INDEX(SOC2010_Structure!E:E,MATCH(sectorLookup!A90,SOC2010_Structure!D:D,0)))</f>
        <v>Skilled metal, electrical and electronic trades supervisors</v>
      </c>
      <c r="C90" t="s">
        <v>237</v>
      </c>
      <c r="D90" t="str">
        <f>INDEX('group info'!B:B,MATCH(sectorLookup!C90,'group info'!A:A,0))</f>
        <v>Construction</v>
      </c>
      <c r="E90" t="s">
        <v>241</v>
      </c>
      <c r="F90">
        <v>2010</v>
      </c>
      <c r="G90" t="str">
        <f t="shared" si="1"/>
        <v>Construction SOC2010</v>
      </c>
    </row>
    <row r="91" spans="1:7" x14ac:dyDescent="0.35">
      <c r="A91">
        <v>5311</v>
      </c>
      <c r="B91" t="str">
        <f>IF(F91=2020,INDEX(SOC2020_Structure!E:E,MATCH(sectorLookup!A91,SOC2020_Structure!D:D,0)),INDEX(SOC2010_Structure!E:E,MATCH(sectorLookup!A91,SOC2010_Structure!D:D,0)))</f>
        <v>Steel erectors</v>
      </c>
      <c r="C91" t="s">
        <v>237</v>
      </c>
      <c r="D91" t="str">
        <f>INDEX('group info'!B:B,MATCH(sectorLookup!C91,'group info'!A:A,0))</f>
        <v>Construction</v>
      </c>
      <c r="E91" t="s">
        <v>241</v>
      </c>
      <c r="F91">
        <v>2010</v>
      </c>
      <c r="G91" t="str">
        <f t="shared" si="1"/>
        <v>Construction SOC2010</v>
      </c>
    </row>
    <row r="92" spans="1:7" x14ac:dyDescent="0.35">
      <c r="A92">
        <v>5312</v>
      </c>
      <c r="B92" t="str">
        <f>IF(F92=2020,INDEX(SOC2020_Structure!E:E,MATCH(sectorLookup!A92,SOC2020_Structure!D:D,0)),INDEX(SOC2010_Structure!E:E,MATCH(sectorLookup!A92,SOC2010_Structure!D:D,0)))</f>
        <v>Bricklayers and masons</v>
      </c>
      <c r="C92" t="s">
        <v>237</v>
      </c>
      <c r="D92" t="str">
        <f>INDEX('group info'!B:B,MATCH(sectorLookup!C92,'group info'!A:A,0))</f>
        <v>Construction</v>
      </c>
      <c r="E92" t="s">
        <v>241</v>
      </c>
      <c r="F92">
        <v>2010</v>
      </c>
      <c r="G92" t="str">
        <f t="shared" si="1"/>
        <v>Construction SOC2010</v>
      </c>
    </row>
    <row r="93" spans="1:7" x14ac:dyDescent="0.35">
      <c r="A93">
        <v>5313</v>
      </c>
      <c r="B93" t="str">
        <f>IF(F93=2020,INDEX(SOC2020_Structure!E:E,MATCH(sectorLookup!A93,SOC2020_Structure!D:D,0)),INDEX(SOC2010_Structure!E:E,MATCH(sectorLookup!A93,SOC2010_Structure!D:D,0)))</f>
        <v>Roofers, roof tilers and slaters</v>
      </c>
      <c r="C93" t="s">
        <v>237</v>
      </c>
      <c r="D93" t="str">
        <f>INDEX('group info'!B:B,MATCH(sectorLookup!C93,'group info'!A:A,0))</f>
        <v>Construction</v>
      </c>
      <c r="E93" t="s">
        <v>241</v>
      </c>
      <c r="F93">
        <v>2010</v>
      </c>
      <c r="G93" t="str">
        <f t="shared" si="1"/>
        <v>Construction SOC2010</v>
      </c>
    </row>
    <row r="94" spans="1:7" x14ac:dyDescent="0.35">
      <c r="A94">
        <v>5314</v>
      </c>
      <c r="B94" t="str">
        <f>IF(F94=2020,INDEX(SOC2020_Structure!E:E,MATCH(sectorLookup!A94,SOC2020_Structure!D:D,0)),INDEX(SOC2010_Structure!E:E,MATCH(sectorLookup!A94,SOC2010_Structure!D:D,0)))</f>
        <v>Plumbers and heating and ventilating engineers</v>
      </c>
      <c r="C94" t="s">
        <v>237</v>
      </c>
      <c r="D94" t="str">
        <f>INDEX('group info'!B:B,MATCH(sectorLookup!C94,'group info'!A:A,0))</f>
        <v>Construction</v>
      </c>
      <c r="E94" t="s">
        <v>241</v>
      </c>
      <c r="F94">
        <v>2010</v>
      </c>
      <c r="G94" t="str">
        <f t="shared" si="1"/>
        <v>Construction SOC2010</v>
      </c>
    </row>
    <row r="95" spans="1:7" x14ac:dyDescent="0.35">
      <c r="A95">
        <v>5315</v>
      </c>
      <c r="B95" t="str">
        <f>IF(F95=2020,INDEX(SOC2020_Structure!E:E,MATCH(sectorLookup!A95,SOC2020_Structure!D:D,0)),INDEX(SOC2010_Structure!E:E,MATCH(sectorLookup!A95,SOC2010_Structure!D:D,0)))</f>
        <v>Carpenters and joiners</v>
      </c>
      <c r="C95" t="s">
        <v>237</v>
      </c>
      <c r="D95" t="str">
        <f>INDEX('group info'!B:B,MATCH(sectorLookup!C95,'group info'!A:A,0))</f>
        <v>Construction</v>
      </c>
      <c r="E95" t="s">
        <v>241</v>
      </c>
      <c r="F95">
        <v>2010</v>
      </c>
      <c r="G95" t="str">
        <f t="shared" si="1"/>
        <v>Construction SOC2010</v>
      </c>
    </row>
    <row r="96" spans="1:7" x14ac:dyDescent="0.35">
      <c r="A96">
        <v>5316</v>
      </c>
      <c r="B96" t="str">
        <f>IF(F96=2020,INDEX(SOC2020_Structure!E:E,MATCH(sectorLookup!A96,SOC2020_Structure!D:D,0)),INDEX(SOC2010_Structure!E:E,MATCH(sectorLookup!A96,SOC2010_Structure!D:D,0)))</f>
        <v>Glaziers, window fabricators and fitters</v>
      </c>
      <c r="C96" t="s">
        <v>237</v>
      </c>
      <c r="D96" t="str">
        <f>INDEX('group info'!B:B,MATCH(sectorLookup!C96,'group info'!A:A,0))</f>
        <v>Construction</v>
      </c>
      <c r="E96" t="s">
        <v>241</v>
      </c>
      <c r="F96">
        <v>2010</v>
      </c>
      <c r="G96" t="str">
        <f t="shared" si="1"/>
        <v>Construction SOC2010</v>
      </c>
    </row>
    <row r="97" spans="1:7" x14ac:dyDescent="0.35">
      <c r="A97">
        <v>5319</v>
      </c>
      <c r="B97" t="str">
        <f>IF(F97=2020,INDEX(SOC2020_Structure!E:E,MATCH(sectorLookup!A97,SOC2020_Structure!D:D,0)),INDEX(SOC2010_Structure!E:E,MATCH(sectorLookup!A97,SOC2010_Structure!D:D,0)))</f>
        <v>Construction and building trades n.e.c.</v>
      </c>
      <c r="C97" t="s">
        <v>237</v>
      </c>
      <c r="D97" t="str">
        <f>INDEX('group info'!B:B,MATCH(sectorLookup!C97,'group info'!A:A,0))</f>
        <v>Construction</v>
      </c>
      <c r="E97" t="s">
        <v>241</v>
      </c>
      <c r="F97">
        <v>2010</v>
      </c>
      <c r="G97" t="str">
        <f t="shared" si="1"/>
        <v>Construction SOC2010</v>
      </c>
    </row>
    <row r="98" spans="1:7" x14ac:dyDescent="0.35">
      <c r="A98">
        <v>5321</v>
      </c>
      <c r="B98" t="str">
        <f>IF(F98=2020,INDEX(SOC2020_Structure!E:E,MATCH(sectorLookup!A98,SOC2020_Structure!D:D,0)),INDEX(SOC2010_Structure!E:E,MATCH(sectorLookup!A98,SOC2010_Structure!D:D,0)))</f>
        <v>Plasterers</v>
      </c>
      <c r="C98" t="s">
        <v>237</v>
      </c>
      <c r="D98" t="str">
        <f>INDEX('group info'!B:B,MATCH(sectorLookup!C98,'group info'!A:A,0))</f>
        <v>Construction</v>
      </c>
      <c r="E98" t="s">
        <v>241</v>
      </c>
      <c r="F98">
        <v>2010</v>
      </c>
      <c r="G98" t="str">
        <f t="shared" si="1"/>
        <v>Construction SOC2010</v>
      </c>
    </row>
    <row r="99" spans="1:7" x14ac:dyDescent="0.35">
      <c r="A99">
        <v>5322</v>
      </c>
      <c r="B99" t="str">
        <f>IF(F99=2020,INDEX(SOC2020_Structure!E:E,MATCH(sectorLookup!A99,SOC2020_Structure!D:D,0)),INDEX(SOC2010_Structure!E:E,MATCH(sectorLookup!A99,SOC2010_Structure!D:D,0)))</f>
        <v>Floorers and wall tilers</v>
      </c>
      <c r="C99" t="s">
        <v>237</v>
      </c>
      <c r="D99" t="str">
        <f>INDEX('group info'!B:B,MATCH(sectorLookup!C99,'group info'!A:A,0))</f>
        <v>Construction</v>
      </c>
      <c r="E99" t="s">
        <v>241</v>
      </c>
      <c r="F99">
        <v>2010</v>
      </c>
      <c r="G99" t="str">
        <f t="shared" si="1"/>
        <v>Construction SOC2010</v>
      </c>
    </row>
    <row r="100" spans="1:7" x14ac:dyDescent="0.35">
      <c r="A100">
        <v>5323</v>
      </c>
      <c r="B100" t="str">
        <f>IF(F100=2020,INDEX(SOC2020_Structure!E:E,MATCH(sectorLookup!A100,SOC2020_Structure!D:D,0)),INDEX(SOC2010_Structure!E:E,MATCH(sectorLookup!A100,SOC2010_Structure!D:D,0)))</f>
        <v>Painters and decorators</v>
      </c>
      <c r="C100" t="s">
        <v>237</v>
      </c>
      <c r="D100" t="str">
        <f>INDEX('group info'!B:B,MATCH(sectorLookup!C100,'group info'!A:A,0))</f>
        <v>Construction</v>
      </c>
      <c r="E100" t="s">
        <v>241</v>
      </c>
      <c r="F100">
        <v>2010</v>
      </c>
      <c r="G100" t="str">
        <f t="shared" si="1"/>
        <v>Construction SOC2010</v>
      </c>
    </row>
    <row r="101" spans="1:7" x14ac:dyDescent="0.35">
      <c r="A101">
        <v>5330</v>
      </c>
      <c r="B101" t="str">
        <f>IF(F101=2020,INDEX(SOC2020_Structure!E:E,MATCH(sectorLookup!A101,SOC2020_Structure!D:D,0)),INDEX(SOC2010_Structure!E:E,MATCH(sectorLookup!A101,SOC2010_Structure!D:D,0)))</f>
        <v>Construction and building trades supervisors</v>
      </c>
      <c r="C101" t="s">
        <v>237</v>
      </c>
      <c r="D101" t="str">
        <f>INDEX('group info'!B:B,MATCH(sectorLookup!C101,'group info'!A:A,0))</f>
        <v>Construction</v>
      </c>
      <c r="E101" t="s">
        <v>241</v>
      </c>
      <c r="F101">
        <v>2010</v>
      </c>
      <c r="G101" t="str">
        <f t="shared" si="1"/>
        <v>Construction SOC2010</v>
      </c>
    </row>
    <row r="102" spans="1:7" x14ac:dyDescent="0.35">
      <c r="A102">
        <v>5411</v>
      </c>
      <c r="B102" t="str">
        <f>IF(F102=2020,INDEX(SOC2020_Structure!E:E,MATCH(sectorLookup!A102,SOC2020_Structure!D:D,0)),INDEX(SOC2010_Structure!E:E,MATCH(sectorLookup!A102,SOC2010_Structure!D:D,0)))</f>
        <v>Weavers and knitters</v>
      </c>
      <c r="C102" t="s">
        <v>236</v>
      </c>
      <c r="D102" t="str">
        <f>INDEX('group info'!B:B,MATCH(sectorLookup!C102,'group info'!A:A,0))</f>
        <v>Manufacturing</v>
      </c>
      <c r="E102" t="s">
        <v>241</v>
      </c>
      <c r="F102">
        <v>2010</v>
      </c>
      <c r="G102" t="str">
        <f t="shared" si="1"/>
        <v>Manufacturing SOC2010</v>
      </c>
    </row>
    <row r="103" spans="1:7" x14ac:dyDescent="0.35">
      <c r="A103">
        <v>5412</v>
      </c>
      <c r="B103" t="str">
        <f>IF(F103=2020,INDEX(SOC2020_Structure!E:E,MATCH(sectorLookup!A103,SOC2020_Structure!D:D,0)),INDEX(SOC2010_Structure!E:E,MATCH(sectorLookup!A103,SOC2010_Structure!D:D,0)))</f>
        <v>Upholsterers</v>
      </c>
      <c r="C103" t="s">
        <v>236</v>
      </c>
      <c r="D103" t="str">
        <f>INDEX('group info'!B:B,MATCH(sectorLookup!C103,'group info'!A:A,0))</f>
        <v>Manufacturing</v>
      </c>
      <c r="E103" t="s">
        <v>241</v>
      </c>
      <c r="F103">
        <v>2010</v>
      </c>
      <c r="G103" t="str">
        <f t="shared" si="1"/>
        <v>Manufacturing SOC2010</v>
      </c>
    </row>
    <row r="104" spans="1:7" x14ac:dyDescent="0.35">
      <c r="A104">
        <v>5413</v>
      </c>
      <c r="B104" t="str">
        <f>IF(F104=2020,INDEX(SOC2020_Structure!E:E,MATCH(sectorLookup!A104,SOC2020_Structure!D:D,0)),INDEX(SOC2010_Structure!E:E,MATCH(sectorLookup!A104,SOC2010_Structure!D:D,0)))</f>
        <v>Footwear and leather working trades</v>
      </c>
      <c r="C104" t="s">
        <v>236</v>
      </c>
      <c r="D104" t="str">
        <f>INDEX('group info'!B:B,MATCH(sectorLookup!C104,'group info'!A:A,0))</f>
        <v>Manufacturing</v>
      </c>
      <c r="E104" t="s">
        <v>241</v>
      </c>
      <c r="F104">
        <v>2010</v>
      </c>
      <c r="G104" t="str">
        <f t="shared" si="1"/>
        <v>Manufacturing SOC2010</v>
      </c>
    </row>
    <row r="105" spans="1:7" x14ac:dyDescent="0.35">
      <c r="A105">
        <v>5414</v>
      </c>
      <c r="B105" t="str">
        <f>IF(F105=2020,INDEX(SOC2020_Structure!E:E,MATCH(sectorLookup!A105,SOC2020_Structure!D:D,0)),INDEX(SOC2010_Structure!E:E,MATCH(sectorLookup!A105,SOC2010_Structure!D:D,0)))</f>
        <v>Tailors and dressmakers</v>
      </c>
      <c r="C105" t="s">
        <v>236</v>
      </c>
      <c r="D105" t="str">
        <f>INDEX('group info'!B:B,MATCH(sectorLookup!C105,'group info'!A:A,0))</f>
        <v>Manufacturing</v>
      </c>
      <c r="E105" t="s">
        <v>241</v>
      </c>
      <c r="F105">
        <v>2010</v>
      </c>
      <c r="G105" t="str">
        <f t="shared" si="1"/>
        <v>Manufacturing SOC2010</v>
      </c>
    </row>
    <row r="106" spans="1:7" x14ac:dyDescent="0.35">
      <c r="A106">
        <v>5419</v>
      </c>
      <c r="B106" t="str">
        <f>IF(F106=2020,INDEX(SOC2020_Structure!E:E,MATCH(sectorLookup!A106,SOC2020_Structure!D:D,0)),INDEX(SOC2010_Structure!E:E,MATCH(sectorLookup!A106,SOC2010_Structure!D:D,0)))</f>
        <v>Textiles, garments and related trades n.e.c.</v>
      </c>
      <c r="C106" t="s">
        <v>236</v>
      </c>
      <c r="D106" t="str">
        <f>INDEX('group info'!B:B,MATCH(sectorLookup!C106,'group info'!A:A,0))</f>
        <v>Manufacturing</v>
      </c>
      <c r="E106" t="s">
        <v>241</v>
      </c>
      <c r="F106">
        <v>2010</v>
      </c>
      <c r="G106" t="str">
        <f t="shared" si="1"/>
        <v>Manufacturing SOC2010</v>
      </c>
    </row>
    <row r="107" spans="1:7" x14ac:dyDescent="0.35">
      <c r="A107">
        <v>5421</v>
      </c>
      <c r="B107" t="str">
        <f>IF(F107=2020,INDEX(SOC2020_Structure!E:E,MATCH(sectorLookup!A107,SOC2020_Structure!D:D,0)),INDEX(SOC2010_Structure!E:E,MATCH(sectorLookup!A107,SOC2010_Structure!D:D,0)))</f>
        <v>Pre-press technicians</v>
      </c>
      <c r="C107" t="s">
        <v>236</v>
      </c>
      <c r="D107" t="str">
        <f>INDEX('group info'!B:B,MATCH(sectorLookup!C107,'group info'!A:A,0))</f>
        <v>Manufacturing</v>
      </c>
      <c r="E107" t="s">
        <v>241</v>
      </c>
      <c r="F107">
        <v>2010</v>
      </c>
      <c r="G107" t="str">
        <f t="shared" si="1"/>
        <v>Manufacturing SOC2010</v>
      </c>
    </row>
    <row r="108" spans="1:7" x14ac:dyDescent="0.35">
      <c r="A108">
        <v>5422</v>
      </c>
      <c r="B108" t="str">
        <f>IF(F108=2020,INDEX(SOC2020_Structure!E:E,MATCH(sectorLookup!A108,SOC2020_Structure!D:D,0)),INDEX(SOC2010_Structure!E:E,MATCH(sectorLookup!A108,SOC2010_Structure!D:D,0)))</f>
        <v>Printers</v>
      </c>
      <c r="C108" t="s">
        <v>236</v>
      </c>
      <c r="D108" t="str">
        <f>INDEX('group info'!B:B,MATCH(sectorLookup!C108,'group info'!A:A,0))</f>
        <v>Manufacturing</v>
      </c>
      <c r="E108" t="s">
        <v>241</v>
      </c>
      <c r="F108">
        <v>2010</v>
      </c>
      <c r="G108" t="str">
        <f t="shared" si="1"/>
        <v>Manufacturing SOC2010</v>
      </c>
    </row>
    <row r="109" spans="1:7" x14ac:dyDescent="0.35">
      <c r="A109">
        <v>5423</v>
      </c>
      <c r="B109" t="str">
        <f>IF(F109=2020,INDEX(SOC2020_Structure!E:E,MATCH(sectorLookup!A109,SOC2020_Structure!D:D,0)),INDEX(SOC2010_Structure!E:E,MATCH(sectorLookup!A109,SOC2010_Structure!D:D,0)))</f>
        <v>Print finishing and binding workers</v>
      </c>
      <c r="C109" t="s">
        <v>236</v>
      </c>
      <c r="D109" t="str">
        <f>INDEX('group info'!B:B,MATCH(sectorLookup!C109,'group info'!A:A,0))</f>
        <v>Manufacturing</v>
      </c>
      <c r="E109" t="s">
        <v>241</v>
      </c>
      <c r="F109">
        <v>2010</v>
      </c>
      <c r="G109" t="str">
        <f t="shared" si="1"/>
        <v>Manufacturing SOC2010</v>
      </c>
    </row>
    <row r="110" spans="1:7" x14ac:dyDescent="0.35">
      <c r="A110">
        <v>5431</v>
      </c>
      <c r="B110" t="str">
        <f>IF(F110=2020,INDEX(SOC2020_Structure!E:E,MATCH(sectorLookup!A110,SOC2020_Structure!D:D,0)),INDEX(SOC2010_Structure!E:E,MATCH(sectorLookup!A110,SOC2010_Structure!D:D,0)))</f>
        <v>Butchers</v>
      </c>
      <c r="C110" t="s">
        <v>236</v>
      </c>
      <c r="D110" t="str">
        <f>INDEX('group info'!B:B,MATCH(sectorLookup!C110,'group info'!A:A,0))</f>
        <v>Manufacturing</v>
      </c>
      <c r="E110" t="s">
        <v>241</v>
      </c>
      <c r="F110">
        <v>2010</v>
      </c>
      <c r="G110" t="str">
        <f t="shared" si="1"/>
        <v>Manufacturing SOC2010</v>
      </c>
    </row>
    <row r="111" spans="1:7" x14ac:dyDescent="0.35">
      <c r="A111">
        <v>5432</v>
      </c>
      <c r="B111" t="str">
        <f>IF(F111=2020,INDEX(SOC2020_Structure!E:E,MATCH(sectorLookup!A111,SOC2020_Structure!D:D,0)),INDEX(SOC2010_Structure!E:E,MATCH(sectorLookup!A111,SOC2010_Structure!D:D,0)))</f>
        <v>Bakers and flour confectioners</v>
      </c>
      <c r="C111" t="s">
        <v>236</v>
      </c>
      <c r="D111" t="str">
        <f>INDEX('group info'!B:B,MATCH(sectorLookup!C111,'group info'!A:A,0))</f>
        <v>Manufacturing</v>
      </c>
      <c r="E111" t="s">
        <v>241</v>
      </c>
      <c r="F111">
        <v>2010</v>
      </c>
      <c r="G111" t="str">
        <f t="shared" si="1"/>
        <v>Manufacturing SOC2010</v>
      </c>
    </row>
    <row r="112" spans="1:7" x14ac:dyDescent="0.35">
      <c r="A112">
        <v>5433</v>
      </c>
      <c r="B112" t="str">
        <f>IF(F112=2020,INDEX(SOC2020_Structure!E:E,MATCH(sectorLookup!A112,SOC2020_Structure!D:D,0)),INDEX(SOC2010_Structure!E:E,MATCH(sectorLookup!A112,SOC2010_Structure!D:D,0)))</f>
        <v>Fishmongers and poultry dressers</v>
      </c>
      <c r="C112" t="s">
        <v>236</v>
      </c>
      <c r="D112" t="str">
        <f>INDEX('group info'!B:B,MATCH(sectorLookup!C112,'group info'!A:A,0))</f>
        <v>Manufacturing</v>
      </c>
      <c r="E112" t="s">
        <v>241</v>
      </c>
      <c r="F112">
        <v>2010</v>
      </c>
      <c r="G112" t="str">
        <f t="shared" si="1"/>
        <v>Manufacturing SOC2010</v>
      </c>
    </row>
    <row r="113" spans="1:7" x14ac:dyDescent="0.35">
      <c r="A113">
        <v>5441</v>
      </c>
      <c r="B113" t="str">
        <f>IF(F113=2020,INDEX(SOC2020_Structure!E:E,MATCH(sectorLookup!A113,SOC2020_Structure!D:D,0)),INDEX(SOC2010_Structure!E:E,MATCH(sectorLookup!A113,SOC2010_Structure!D:D,0)))</f>
        <v>Glass and ceramics makers, decorators and finishers</v>
      </c>
      <c r="C113" t="s">
        <v>236</v>
      </c>
      <c r="D113" t="str">
        <f>INDEX('group info'!B:B,MATCH(sectorLookup!C113,'group info'!A:A,0))</f>
        <v>Manufacturing</v>
      </c>
      <c r="E113" t="s">
        <v>241</v>
      </c>
      <c r="F113">
        <v>2010</v>
      </c>
      <c r="G113" t="str">
        <f t="shared" si="1"/>
        <v>Manufacturing SOC2010</v>
      </c>
    </row>
    <row r="114" spans="1:7" x14ac:dyDescent="0.35">
      <c r="A114">
        <v>5442</v>
      </c>
      <c r="B114" t="str">
        <f>IF(F114=2020,INDEX(SOC2020_Structure!E:E,MATCH(sectorLookup!A114,SOC2020_Structure!D:D,0)),INDEX(SOC2010_Structure!E:E,MATCH(sectorLookup!A114,SOC2010_Structure!D:D,0)))</f>
        <v>Furniture makers and other craft woodworkers</v>
      </c>
      <c r="C114" t="s">
        <v>236</v>
      </c>
      <c r="D114" t="str">
        <f>INDEX('group info'!B:B,MATCH(sectorLookup!C114,'group info'!A:A,0))</f>
        <v>Manufacturing</v>
      </c>
      <c r="E114" t="s">
        <v>241</v>
      </c>
      <c r="F114">
        <v>2010</v>
      </c>
      <c r="G114" t="str">
        <f t="shared" si="1"/>
        <v>Manufacturing SOC2010</v>
      </c>
    </row>
    <row r="115" spans="1:7" x14ac:dyDescent="0.35">
      <c r="A115">
        <v>6141</v>
      </c>
      <c r="B115" t="str">
        <f>IF(F115=2020,INDEX(SOC2020_Structure!E:E,MATCH(sectorLookup!A115,SOC2020_Structure!D:D,0)),INDEX(SOC2010_Structure!E:E,MATCH(sectorLookup!A115,SOC2010_Structure!D:D,0)))</f>
        <v>Nursing auxiliaries and assistants</v>
      </c>
      <c r="C115" t="s">
        <v>240</v>
      </c>
      <c r="D115" t="str">
        <f>INDEX('group info'!B:B,MATCH(sectorLookup!C115,'group info'!A:A,0))</f>
        <v>Health and social care</v>
      </c>
      <c r="E115" t="s">
        <v>241</v>
      </c>
      <c r="F115">
        <v>2010</v>
      </c>
      <c r="G115" t="str">
        <f t="shared" si="1"/>
        <v>Health and social care SOC2010</v>
      </c>
    </row>
    <row r="116" spans="1:7" x14ac:dyDescent="0.35">
      <c r="A116">
        <v>6142</v>
      </c>
      <c r="B116" t="str">
        <f>IF(F116=2020,INDEX(SOC2020_Structure!E:E,MATCH(sectorLookup!A116,SOC2020_Structure!D:D,0)),INDEX(SOC2010_Structure!E:E,MATCH(sectorLookup!A116,SOC2010_Structure!D:D,0)))</f>
        <v>Ambulance staff (excluding paramedics)</v>
      </c>
      <c r="C116" t="s">
        <v>240</v>
      </c>
      <c r="D116" t="str">
        <f>INDEX('group info'!B:B,MATCH(sectorLookup!C116,'group info'!A:A,0))</f>
        <v>Health and social care</v>
      </c>
      <c r="E116" t="s">
        <v>241</v>
      </c>
      <c r="F116">
        <v>2010</v>
      </c>
      <c r="G116" t="str">
        <f t="shared" si="1"/>
        <v>Health and social care SOC2010</v>
      </c>
    </row>
    <row r="117" spans="1:7" x14ac:dyDescent="0.35">
      <c r="A117">
        <v>6143</v>
      </c>
      <c r="B117" t="str">
        <f>IF(F117=2020,INDEX(SOC2020_Structure!E:E,MATCH(sectorLookup!A117,SOC2020_Structure!D:D,0)),INDEX(SOC2010_Structure!E:E,MATCH(sectorLookup!A117,SOC2010_Structure!D:D,0)))</f>
        <v>Dental nurses</v>
      </c>
      <c r="C117" t="s">
        <v>240</v>
      </c>
      <c r="D117" t="str">
        <f>INDEX('group info'!B:B,MATCH(sectorLookup!C117,'group info'!A:A,0))</f>
        <v>Health and social care</v>
      </c>
      <c r="E117" t="s">
        <v>241</v>
      </c>
      <c r="F117">
        <v>2010</v>
      </c>
      <c r="G117" t="str">
        <f t="shared" si="1"/>
        <v>Health and social care SOC2010</v>
      </c>
    </row>
    <row r="118" spans="1:7" x14ac:dyDescent="0.35">
      <c r="A118">
        <v>6144</v>
      </c>
      <c r="B118" t="str">
        <f>IF(F118=2020,INDEX(SOC2020_Structure!E:E,MATCH(sectorLookup!A118,SOC2020_Structure!D:D,0)),INDEX(SOC2010_Structure!E:E,MATCH(sectorLookup!A118,SOC2010_Structure!D:D,0)))</f>
        <v>Houseparents and residential wardens</v>
      </c>
      <c r="C118" t="s">
        <v>240</v>
      </c>
      <c r="D118" t="str">
        <f>INDEX('group info'!B:B,MATCH(sectorLookup!C118,'group info'!A:A,0))</f>
        <v>Health and social care</v>
      </c>
      <c r="E118" t="s">
        <v>241</v>
      </c>
      <c r="F118">
        <v>2010</v>
      </c>
      <c r="G118" t="str">
        <f t="shared" si="1"/>
        <v>Health and social care SOC2010</v>
      </c>
    </row>
    <row r="119" spans="1:7" x14ac:dyDescent="0.35">
      <c r="A119">
        <v>6145</v>
      </c>
      <c r="B119" t="str">
        <f>IF(F119=2020,INDEX(SOC2020_Structure!E:E,MATCH(sectorLookup!A119,SOC2020_Structure!D:D,0)),INDEX(SOC2010_Structure!E:E,MATCH(sectorLookup!A119,SOC2010_Structure!D:D,0)))</f>
        <v>Care workers and home carers</v>
      </c>
      <c r="C119" t="s">
        <v>240</v>
      </c>
      <c r="D119" t="str">
        <f>INDEX('group info'!B:B,MATCH(sectorLookup!C119,'group info'!A:A,0))</f>
        <v>Health and social care</v>
      </c>
      <c r="E119" t="s">
        <v>241</v>
      </c>
      <c r="F119">
        <v>2010</v>
      </c>
      <c r="G119" t="str">
        <f t="shared" si="1"/>
        <v>Health and social care SOC2010</v>
      </c>
    </row>
    <row r="120" spans="1:7" x14ac:dyDescent="0.35">
      <c r="A120">
        <v>6146</v>
      </c>
      <c r="B120" t="str">
        <f>IF(F120=2020,INDEX(SOC2020_Structure!E:E,MATCH(sectorLookup!A120,SOC2020_Structure!D:D,0)),INDEX(SOC2010_Structure!E:E,MATCH(sectorLookup!A120,SOC2010_Structure!D:D,0)))</f>
        <v>Senior care workers</v>
      </c>
      <c r="C120" t="s">
        <v>240</v>
      </c>
      <c r="D120" t="str">
        <f>INDEX('group info'!B:B,MATCH(sectorLookup!C120,'group info'!A:A,0))</f>
        <v>Health and social care</v>
      </c>
      <c r="E120" t="s">
        <v>241</v>
      </c>
      <c r="F120">
        <v>2010</v>
      </c>
      <c r="G120" t="str">
        <f t="shared" si="1"/>
        <v>Health and social care SOC2010</v>
      </c>
    </row>
    <row r="121" spans="1:7" x14ac:dyDescent="0.35">
      <c r="A121">
        <v>6147</v>
      </c>
      <c r="B121" t="str">
        <f>IF(F121=2020,INDEX(SOC2020_Structure!E:E,MATCH(sectorLookup!A121,SOC2020_Structure!D:D,0)),INDEX(SOC2010_Structure!E:E,MATCH(sectorLookup!A121,SOC2010_Structure!D:D,0)))</f>
        <v>Care escorts</v>
      </c>
      <c r="C121" t="s">
        <v>240</v>
      </c>
      <c r="D121" t="str">
        <f>INDEX('group info'!B:B,MATCH(sectorLookup!C121,'group info'!A:A,0))</f>
        <v>Health and social care</v>
      </c>
      <c r="E121" t="s">
        <v>241</v>
      </c>
      <c r="F121">
        <v>2010</v>
      </c>
      <c r="G121" t="str">
        <f t="shared" si="1"/>
        <v>Health and social care SOC2010</v>
      </c>
    </row>
    <row r="122" spans="1:7" x14ac:dyDescent="0.35">
      <c r="A122">
        <v>6214</v>
      </c>
      <c r="B122" t="str">
        <f>IF(F122=2020,INDEX(SOC2020_Structure!E:E,MATCH(sectorLookup!A122,SOC2020_Structure!D:D,0)),INDEX(SOC2010_Structure!E:E,MATCH(sectorLookup!A122,SOC2010_Structure!D:D,0)))</f>
        <v>Air travel assistants</v>
      </c>
      <c r="C122" t="s">
        <v>239</v>
      </c>
      <c r="D122" t="str">
        <f>INDEX('group info'!B:B,MATCH(sectorLookup!C122,'group info'!A:A,0))</f>
        <v>Haulage and logistics</v>
      </c>
      <c r="E122" t="s">
        <v>241</v>
      </c>
      <c r="F122">
        <v>2010</v>
      </c>
      <c r="G122" t="str">
        <f t="shared" si="1"/>
        <v>Haulage and logistics SOC2010</v>
      </c>
    </row>
    <row r="123" spans="1:7" x14ac:dyDescent="0.35">
      <c r="A123">
        <v>6215</v>
      </c>
      <c r="B123" t="str">
        <f>IF(F123=2020,INDEX(SOC2020_Structure!E:E,MATCH(sectorLookup!A123,SOC2020_Structure!D:D,0)),INDEX(SOC2010_Structure!E:E,MATCH(sectorLookup!A123,SOC2010_Structure!D:D,0)))</f>
        <v>Rail travel assistants</v>
      </c>
      <c r="C123" t="s">
        <v>239</v>
      </c>
      <c r="D123" t="str">
        <f>INDEX('group info'!B:B,MATCH(sectorLookup!C123,'group info'!A:A,0))</f>
        <v>Haulage and logistics</v>
      </c>
      <c r="E123" t="s">
        <v>241</v>
      </c>
      <c r="F123">
        <v>2010</v>
      </c>
      <c r="G123" t="str">
        <f t="shared" si="1"/>
        <v>Haulage and logistics SOC2010</v>
      </c>
    </row>
    <row r="124" spans="1:7" x14ac:dyDescent="0.35">
      <c r="A124">
        <v>7114</v>
      </c>
      <c r="B124" t="str">
        <f>IF(F124=2020,INDEX(SOC2020_Structure!E:E,MATCH(sectorLookup!A124,SOC2020_Structure!D:D,0)),INDEX(SOC2010_Structure!E:E,MATCH(sectorLookup!A124,SOC2010_Structure!D:D,0)))</f>
        <v>Pharmacy and other dispensing assistants</v>
      </c>
      <c r="C124" t="s">
        <v>240</v>
      </c>
      <c r="D124" t="str">
        <f>INDEX('group info'!B:B,MATCH(sectorLookup!C124,'group info'!A:A,0))</f>
        <v>Health and social care</v>
      </c>
      <c r="E124" t="s">
        <v>241</v>
      </c>
      <c r="F124">
        <v>2010</v>
      </c>
      <c r="G124" t="str">
        <f t="shared" si="1"/>
        <v>Health and social care SOC2010</v>
      </c>
    </row>
    <row r="125" spans="1:7" x14ac:dyDescent="0.35">
      <c r="A125">
        <v>7115</v>
      </c>
      <c r="B125" t="str">
        <f>IF(F125=2020,INDEX(SOC2020_Structure!E:E,MATCH(sectorLookup!A125,SOC2020_Structure!D:D,0)),INDEX(SOC2010_Structure!E:E,MATCH(sectorLookup!A125,SOC2010_Structure!D:D,0)))</f>
        <v>Vehicle and parts salespersons and advisers</v>
      </c>
      <c r="C125" t="s">
        <v>239</v>
      </c>
      <c r="D125" t="str">
        <f>INDEX('group info'!B:B,MATCH(sectorLookup!C125,'group info'!A:A,0))</f>
        <v>Haulage and logistics</v>
      </c>
      <c r="E125" t="s">
        <v>241</v>
      </c>
      <c r="F125">
        <v>2010</v>
      </c>
      <c r="G125" t="str">
        <f t="shared" si="1"/>
        <v>Haulage and logistics SOC2010</v>
      </c>
    </row>
    <row r="126" spans="1:7" x14ac:dyDescent="0.35">
      <c r="A126">
        <v>8111</v>
      </c>
      <c r="B126" t="str">
        <f>IF(F126=2020,INDEX(SOC2020_Structure!E:E,MATCH(sectorLookup!A126,SOC2020_Structure!D:D,0)),INDEX(SOC2010_Structure!E:E,MATCH(sectorLookup!A126,SOC2010_Structure!D:D,0)))</f>
        <v>Food, drink and tobacco process operatives</v>
      </c>
      <c r="C126" t="s">
        <v>236</v>
      </c>
      <c r="D126" t="str">
        <f>INDEX('group info'!B:B,MATCH(sectorLookup!C126,'group info'!A:A,0))</f>
        <v>Manufacturing</v>
      </c>
      <c r="E126" t="s">
        <v>241</v>
      </c>
      <c r="F126">
        <v>2010</v>
      </c>
      <c r="G126" t="str">
        <f t="shared" si="1"/>
        <v>Manufacturing SOC2010</v>
      </c>
    </row>
    <row r="127" spans="1:7" x14ac:dyDescent="0.35">
      <c r="A127">
        <v>8112</v>
      </c>
      <c r="B127" t="str">
        <f>IF(F127=2020,INDEX(SOC2020_Structure!E:E,MATCH(sectorLookup!A127,SOC2020_Structure!D:D,0)),INDEX(SOC2010_Structure!E:E,MATCH(sectorLookup!A127,SOC2010_Structure!D:D,0)))</f>
        <v>Glass and ceramics process operatives</v>
      </c>
      <c r="C127" t="s">
        <v>236</v>
      </c>
      <c r="D127" t="str">
        <f>INDEX('group info'!B:B,MATCH(sectorLookup!C127,'group info'!A:A,0))</f>
        <v>Manufacturing</v>
      </c>
      <c r="E127" t="s">
        <v>241</v>
      </c>
      <c r="F127">
        <v>2010</v>
      </c>
      <c r="G127" t="str">
        <f t="shared" si="1"/>
        <v>Manufacturing SOC2010</v>
      </c>
    </row>
    <row r="128" spans="1:7" x14ac:dyDescent="0.35">
      <c r="A128">
        <v>8113</v>
      </c>
      <c r="B128" t="str">
        <f>IF(F128=2020,INDEX(SOC2020_Structure!E:E,MATCH(sectorLookup!A128,SOC2020_Structure!D:D,0)),INDEX(SOC2010_Structure!E:E,MATCH(sectorLookup!A128,SOC2010_Structure!D:D,0)))</f>
        <v>Textile process operatives</v>
      </c>
      <c r="C128" t="s">
        <v>236</v>
      </c>
      <c r="D128" t="str">
        <f>INDEX('group info'!B:B,MATCH(sectorLookup!C128,'group info'!A:A,0))</f>
        <v>Manufacturing</v>
      </c>
      <c r="E128" t="s">
        <v>241</v>
      </c>
      <c r="F128">
        <v>2010</v>
      </c>
      <c r="G128" t="str">
        <f t="shared" si="1"/>
        <v>Manufacturing SOC2010</v>
      </c>
    </row>
    <row r="129" spans="1:7" x14ac:dyDescent="0.35">
      <c r="A129">
        <v>8114</v>
      </c>
      <c r="B129" t="str">
        <f>IF(F129=2020,INDEX(SOC2020_Structure!E:E,MATCH(sectorLookup!A129,SOC2020_Structure!D:D,0)),INDEX(SOC2010_Structure!E:E,MATCH(sectorLookup!A129,SOC2010_Structure!D:D,0)))</f>
        <v>Chemical and related process operatives</v>
      </c>
      <c r="C129" t="s">
        <v>236</v>
      </c>
      <c r="D129" t="str">
        <f>INDEX('group info'!B:B,MATCH(sectorLookup!C129,'group info'!A:A,0))</f>
        <v>Manufacturing</v>
      </c>
      <c r="E129" t="s">
        <v>241</v>
      </c>
      <c r="F129">
        <v>2010</v>
      </c>
      <c r="G129" t="str">
        <f t="shared" si="1"/>
        <v>Manufacturing SOC2010</v>
      </c>
    </row>
    <row r="130" spans="1:7" x14ac:dyDescent="0.35">
      <c r="A130">
        <v>8115</v>
      </c>
      <c r="B130" t="str">
        <f>IF(F130=2020,INDEX(SOC2020_Structure!E:E,MATCH(sectorLookup!A130,SOC2020_Structure!D:D,0)),INDEX(SOC2010_Structure!E:E,MATCH(sectorLookup!A130,SOC2010_Structure!D:D,0)))</f>
        <v>Rubber process operatives</v>
      </c>
      <c r="C130" t="s">
        <v>236</v>
      </c>
      <c r="D130" t="str">
        <f>INDEX('group info'!B:B,MATCH(sectorLookup!C130,'group info'!A:A,0))</f>
        <v>Manufacturing</v>
      </c>
      <c r="E130" t="s">
        <v>241</v>
      </c>
      <c r="F130">
        <v>2010</v>
      </c>
      <c r="G130" t="str">
        <f t="shared" si="1"/>
        <v>Manufacturing SOC2010</v>
      </c>
    </row>
    <row r="131" spans="1:7" x14ac:dyDescent="0.35">
      <c r="A131">
        <v>8116</v>
      </c>
      <c r="B131" t="str">
        <f>IF(F131=2020,INDEX(SOC2020_Structure!E:E,MATCH(sectorLookup!A131,SOC2020_Structure!D:D,0)),INDEX(SOC2010_Structure!E:E,MATCH(sectorLookup!A131,SOC2010_Structure!D:D,0)))</f>
        <v>Plastics process operatives</v>
      </c>
      <c r="C131" t="s">
        <v>236</v>
      </c>
      <c r="D131" t="str">
        <f>INDEX('group info'!B:B,MATCH(sectorLookup!C131,'group info'!A:A,0))</f>
        <v>Manufacturing</v>
      </c>
      <c r="E131" t="s">
        <v>241</v>
      </c>
      <c r="F131">
        <v>2010</v>
      </c>
      <c r="G131" t="str">
        <f t="shared" ref="G131:G194" si="2">D131&amp;" SOC"&amp;F131</f>
        <v>Manufacturing SOC2010</v>
      </c>
    </row>
    <row r="132" spans="1:7" x14ac:dyDescent="0.35">
      <c r="A132">
        <v>8117</v>
      </c>
      <c r="B132" t="str">
        <f>IF(F132=2020,INDEX(SOC2020_Structure!E:E,MATCH(sectorLookup!A132,SOC2020_Structure!D:D,0)),INDEX(SOC2010_Structure!E:E,MATCH(sectorLookup!A132,SOC2010_Structure!D:D,0)))</f>
        <v>Metal making and treating process operatives</v>
      </c>
      <c r="C132" t="s">
        <v>237</v>
      </c>
      <c r="D132" t="str">
        <f>INDEX('group info'!B:B,MATCH(sectorLookup!C132,'group info'!A:A,0))</f>
        <v>Construction</v>
      </c>
      <c r="E132" t="s">
        <v>241</v>
      </c>
      <c r="F132">
        <v>2010</v>
      </c>
      <c r="G132" t="str">
        <f t="shared" si="2"/>
        <v>Construction SOC2010</v>
      </c>
    </row>
    <row r="133" spans="1:7" x14ac:dyDescent="0.35">
      <c r="A133">
        <v>8118</v>
      </c>
      <c r="B133" t="str">
        <f>IF(F133=2020,INDEX(SOC2020_Structure!E:E,MATCH(sectorLookup!A133,SOC2020_Structure!D:D,0)),INDEX(SOC2010_Structure!E:E,MATCH(sectorLookup!A133,SOC2010_Structure!D:D,0)))</f>
        <v>Electroplaters</v>
      </c>
      <c r="C133" t="s">
        <v>237</v>
      </c>
      <c r="D133" t="str">
        <f>INDEX('group info'!B:B,MATCH(sectorLookup!C133,'group info'!A:A,0))</f>
        <v>Construction</v>
      </c>
      <c r="E133" t="s">
        <v>241</v>
      </c>
      <c r="F133">
        <v>2010</v>
      </c>
      <c r="G133" t="str">
        <f t="shared" si="2"/>
        <v>Construction SOC2010</v>
      </c>
    </row>
    <row r="134" spans="1:7" x14ac:dyDescent="0.35">
      <c r="A134">
        <v>8119</v>
      </c>
      <c r="B134" t="str">
        <f>IF(F134=2020,INDEX(SOC2020_Structure!E:E,MATCH(sectorLookup!A134,SOC2020_Structure!D:D,0)),INDEX(SOC2010_Structure!E:E,MATCH(sectorLookup!A134,SOC2010_Structure!D:D,0)))</f>
        <v>Process operatives n.e.c.</v>
      </c>
      <c r="C134" t="s">
        <v>236</v>
      </c>
      <c r="D134" t="str">
        <f>INDEX('group info'!B:B,MATCH(sectorLookup!C134,'group info'!A:A,0))</f>
        <v>Manufacturing</v>
      </c>
      <c r="E134" t="s">
        <v>241</v>
      </c>
      <c r="F134">
        <v>2010</v>
      </c>
      <c r="G134" t="str">
        <f t="shared" si="2"/>
        <v>Manufacturing SOC2010</v>
      </c>
    </row>
    <row r="135" spans="1:7" x14ac:dyDescent="0.35">
      <c r="A135">
        <v>8121</v>
      </c>
      <c r="B135" t="str">
        <f>IF(F135=2020,INDEX(SOC2020_Structure!E:E,MATCH(sectorLookup!A135,SOC2020_Structure!D:D,0)),INDEX(SOC2010_Structure!E:E,MATCH(sectorLookup!A135,SOC2010_Structure!D:D,0)))</f>
        <v>Paper and wood machine operatives</v>
      </c>
      <c r="C135" t="s">
        <v>236</v>
      </c>
      <c r="D135" t="str">
        <f>INDEX('group info'!B:B,MATCH(sectorLookup!C135,'group info'!A:A,0))</f>
        <v>Manufacturing</v>
      </c>
      <c r="E135" t="s">
        <v>241</v>
      </c>
      <c r="F135">
        <v>2010</v>
      </c>
      <c r="G135" t="str">
        <f t="shared" si="2"/>
        <v>Manufacturing SOC2010</v>
      </c>
    </row>
    <row r="136" spans="1:7" x14ac:dyDescent="0.35">
      <c r="A136">
        <v>8122</v>
      </c>
      <c r="B136" t="str">
        <f>IF(F136=2020,INDEX(SOC2020_Structure!E:E,MATCH(sectorLookup!A136,SOC2020_Structure!D:D,0)),INDEX(SOC2010_Structure!E:E,MATCH(sectorLookup!A136,SOC2010_Structure!D:D,0)))</f>
        <v>Coal mine operatives</v>
      </c>
      <c r="C136" t="s">
        <v>236</v>
      </c>
      <c r="D136" t="str">
        <f>INDEX('group info'!B:B,MATCH(sectorLookup!C136,'group info'!A:A,0))</f>
        <v>Manufacturing</v>
      </c>
      <c r="E136" t="s">
        <v>241</v>
      </c>
      <c r="F136">
        <v>2010</v>
      </c>
      <c r="G136" t="str">
        <f t="shared" si="2"/>
        <v>Manufacturing SOC2010</v>
      </c>
    </row>
    <row r="137" spans="1:7" x14ac:dyDescent="0.35">
      <c r="A137">
        <v>8123</v>
      </c>
      <c r="B137" t="str">
        <f>IF(F137=2020,INDEX(SOC2020_Structure!E:E,MATCH(sectorLookup!A137,SOC2020_Structure!D:D,0)),INDEX(SOC2010_Structure!E:E,MATCH(sectorLookup!A137,SOC2010_Structure!D:D,0)))</f>
        <v>Quarry workers and related operatives</v>
      </c>
      <c r="C137" t="s">
        <v>236</v>
      </c>
      <c r="D137" t="str">
        <f>INDEX('group info'!B:B,MATCH(sectorLookup!C137,'group info'!A:A,0))</f>
        <v>Manufacturing</v>
      </c>
      <c r="E137" t="s">
        <v>241</v>
      </c>
      <c r="F137">
        <v>2010</v>
      </c>
      <c r="G137" t="str">
        <f t="shared" si="2"/>
        <v>Manufacturing SOC2010</v>
      </c>
    </row>
    <row r="138" spans="1:7" x14ac:dyDescent="0.35">
      <c r="A138">
        <v>8124</v>
      </c>
      <c r="B138" t="str">
        <f>IF(F138=2020,INDEX(SOC2020_Structure!E:E,MATCH(sectorLookup!A138,SOC2020_Structure!D:D,0)),INDEX(SOC2010_Structure!E:E,MATCH(sectorLookup!A138,SOC2010_Structure!D:D,0)))</f>
        <v>Energy plant operatives</v>
      </c>
      <c r="C138" t="s">
        <v>236</v>
      </c>
      <c r="D138" t="str">
        <f>INDEX('group info'!B:B,MATCH(sectorLookup!C138,'group info'!A:A,0))</f>
        <v>Manufacturing</v>
      </c>
      <c r="E138" t="s">
        <v>241</v>
      </c>
      <c r="F138">
        <v>2010</v>
      </c>
      <c r="G138" t="str">
        <f t="shared" si="2"/>
        <v>Manufacturing SOC2010</v>
      </c>
    </row>
    <row r="139" spans="1:7" x14ac:dyDescent="0.35">
      <c r="A139">
        <v>8125</v>
      </c>
      <c r="B139" t="str">
        <f>IF(F139=2020,INDEX(SOC2020_Structure!E:E,MATCH(sectorLookup!A139,SOC2020_Structure!D:D,0)),INDEX(SOC2010_Structure!E:E,MATCH(sectorLookup!A139,SOC2010_Structure!D:D,0)))</f>
        <v>Metal working machine operatives</v>
      </c>
      <c r="C139" t="s">
        <v>237</v>
      </c>
      <c r="D139" t="str">
        <f>INDEX('group info'!B:B,MATCH(sectorLookup!C139,'group info'!A:A,0))</f>
        <v>Construction</v>
      </c>
      <c r="E139" t="s">
        <v>241</v>
      </c>
      <c r="F139">
        <v>2010</v>
      </c>
      <c r="G139" t="str">
        <f t="shared" si="2"/>
        <v>Construction SOC2010</v>
      </c>
    </row>
    <row r="140" spans="1:7" x14ac:dyDescent="0.35">
      <c r="A140">
        <v>8126</v>
      </c>
      <c r="B140" t="str">
        <f>IF(F140=2020,INDEX(SOC2020_Structure!E:E,MATCH(sectorLookup!A140,SOC2020_Structure!D:D,0)),INDEX(SOC2010_Structure!E:E,MATCH(sectorLookup!A140,SOC2010_Structure!D:D,0)))</f>
        <v>Water and sewerage plant operatives</v>
      </c>
      <c r="C140" t="s">
        <v>237</v>
      </c>
      <c r="D140" t="str">
        <f>INDEX('group info'!B:B,MATCH(sectorLookup!C140,'group info'!A:A,0))</f>
        <v>Construction</v>
      </c>
      <c r="E140" t="s">
        <v>241</v>
      </c>
      <c r="F140">
        <v>2010</v>
      </c>
      <c r="G140" t="str">
        <f t="shared" si="2"/>
        <v>Construction SOC2010</v>
      </c>
    </row>
    <row r="141" spans="1:7" x14ac:dyDescent="0.35">
      <c r="A141">
        <v>8127</v>
      </c>
      <c r="B141" t="str">
        <f>IF(F141=2020,INDEX(SOC2020_Structure!E:E,MATCH(sectorLookup!A141,SOC2020_Structure!D:D,0)),INDEX(SOC2010_Structure!E:E,MATCH(sectorLookup!A141,SOC2010_Structure!D:D,0)))</f>
        <v>Printing machine assistants</v>
      </c>
      <c r="C141" t="s">
        <v>236</v>
      </c>
      <c r="D141" t="str">
        <f>INDEX('group info'!B:B,MATCH(sectorLookup!C141,'group info'!A:A,0))</f>
        <v>Manufacturing</v>
      </c>
      <c r="E141" t="s">
        <v>241</v>
      </c>
      <c r="F141">
        <v>2010</v>
      </c>
      <c r="G141" t="str">
        <f t="shared" si="2"/>
        <v>Manufacturing SOC2010</v>
      </c>
    </row>
    <row r="142" spans="1:7" x14ac:dyDescent="0.35">
      <c r="A142">
        <v>8129</v>
      </c>
      <c r="B142" t="str">
        <f>IF(F142=2020,INDEX(SOC2020_Structure!E:E,MATCH(sectorLookup!A142,SOC2020_Structure!D:D,0)),INDEX(SOC2010_Structure!E:E,MATCH(sectorLookup!A142,SOC2010_Structure!D:D,0)))</f>
        <v>Plant and machine operatives n.e.c.</v>
      </c>
      <c r="C142" t="s">
        <v>236</v>
      </c>
      <c r="D142" t="str">
        <f>INDEX('group info'!B:B,MATCH(sectorLookup!C142,'group info'!A:A,0))</f>
        <v>Manufacturing</v>
      </c>
      <c r="E142" t="s">
        <v>241</v>
      </c>
      <c r="F142">
        <v>2010</v>
      </c>
      <c r="G142" t="str">
        <f t="shared" si="2"/>
        <v>Manufacturing SOC2010</v>
      </c>
    </row>
    <row r="143" spans="1:7" x14ac:dyDescent="0.35">
      <c r="A143">
        <v>8131</v>
      </c>
      <c r="B143" t="str">
        <f>IF(F143=2020,INDEX(SOC2020_Structure!E:E,MATCH(sectorLookup!A143,SOC2020_Structure!D:D,0)),INDEX(SOC2010_Structure!E:E,MATCH(sectorLookup!A143,SOC2010_Structure!D:D,0)))</f>
        <v>Assemblers (electrical and electronic products)</v>
      </c>
      <c r="C143" t="s">
        <v>237</v>
      </c>
      <c r="D143" t="str">
        <f>INDEX('group info'!B:B,MATCH(sectorLookup!C143,'group info'!A:A,0))</f>
        <v>Construction</v>
      </c>
      <c r="E143" t="s">
        <v>241</v>
      </c>
      <c r="F143">
        <v>2010</v>
      </c>
      <c r="G143" t="str">
        <f t="shared" si="2"/>
        <v>Construction SOC2010</v>
      </c>
    </row>
    <row r="144" spans="1:7" x14ac:dyDescent="0.35">
      <c r="A144">
        <v>8132</v>
      </c>
      <c r="B144" t="str">
        <f>IF(F144=2020,INDEX(SOC2020_Structure!E:E,MATCH(sectorLookup!A144,SOC2020_Structure!D:D,0)),INDEX(SOC2010_Structure!E:E,MATCH(sectorLookup!A144,SOC2010_Structure!D:D,0)))</f>
        <v>Assemblers (vehicles and metal goods)</v>
      </c>
      <c r="C144" t="s">
        <v>236</v>
      </c>
      <c r="D144" t="str">
        <f>INDEX('group info'!B:B,MATCH(sectorLookup!C144,'group info'!A:A,0))</f>
        <v>Manufacturing</v>
      </c>
      <c r="E144" t="s">
        <v>241</v>
      </c>
      <c r="F144">
        <v>2010</v>
      </c>
      <c r="G144" t="str">
        <f t="shared" si="2"/>
        <v>Manufacturing SOC2010</v>
      </c>
    </row>
    <row r="145" spans="1:7" x14ac:dyDescent="0.35">
      <c r="A145">
        <v>8133</v>
      </c>
      <c r="B145" t="str">
        <f>IF(F145=2020,INDEX(SOC2020_Structure!E:E,MATCH(sectorLookup!A145,SOC2020_Structure!D:D,0)),INDEX(SOC2010_Structure!E:E,MATCH(sectorLookup!A145,SOC2010_Structure!D:D,0)))</f>
        <v>Routine inspectors and testers</v>
      </c>
      <c r="C145" t="s">
        <v>236</v>
      </c>
      <c r="D145" t="str">
        <f>INDEX('group info'!B:B,MATCH(sectorLookup!C145,'group info'!A:A,0))</f>
        <v>Manufacturing</v>
      </c>
      <c r="E145" t="s">
        <v>241</v>
      </c>
      <c r="F145">
        <v>2010</v>
      </c>
      <c r="G145" t="str">
        <f t="shared" si="2"/>
        <v>Manufacturing SOC2010</v>
      </c>
    </row>
    <row r="146" spans="1:7" x14ac:dyDescent="0.35">
      <c r="A146">
        <v>8134</v>
      </c>
      <c r="B146" t="str">
        <f>IF(F146=2020,INDEX(SOC2020_Structure!E:E,MATCH(sectorLookup!A146,SOC2020_Structure!D:D,0)),INDEX(SOC2010_Structure!E:E,MATCH(sectorLookup!A146,SOC2010_Structure!D:D,0)))</f>
        <v>Weighers, graders and sorters</v>
      </c>
      <c r="C146" t="s">
        <v>236</v>
      </c>
      <c r="D146" t="str">
        <f>INDEX('group info'!B:B,MATCH(sectorLookup!C146,'group info'!A:A,0))</f>
        <v>Manufacturing</v>
      </c>
      <c r="E146" t="s">
        <v>241</v>
      </c>
      <c r="F146">
        <v>2010</v>
      </c>
      <c r="G146" t="str">
        <f t="shared" si="2"/>
        <v>Manufacturing SOC2010</v>
      </c>
    </row>
    <row r="147" spans="1:7" x14ac:dyDescent="0.35">
      <c r="A147">
        <v>8135</v>
      </c>
      <c r="B147" t="str">
        <f>IF(F147=2020,INDEX(SOC2020_Structure!E:E,MATCH(sectorLookup!A147,SOC2020_Structure!D:D,0)),INDEX(SOC2010_Structure!E:E,MATCH(sectorLookup!A147,SOC2010_Structure!D:D,0)))</f>
        <v>Tyre, exhaust and windscreen fitters</v>
      </c>
      <c r="C147" t="s">
        <v>239</v>
      </c>
      <c r="D147" t="str">
        <f>INDEX('group info'!B:B,MATCH(sectorLookup!C147,'group info'!A:A,0))</f>
        <v>Haulage and logistics</v>
      </c>
      <c r="E147" t="s">
        <v>241</v>
      </c>
      <c r="F147">
        <v>2010</v>
      </c>
      <c r="G147" t="str">
        <f t="shared" si="2"/>
        <v>Haulage and logistics SOC2010</v>
      </c>
    </row>
    <row r="148" spans="1:7" x14ac:dyDescent="0.35">
      <c r="A148">
        <v>8139</v>
      </c>
      <c r="B148" t="str">
        <f>IF(F148=2020,INDEX(SOC2020_Structure!E:E,MATCH(sectorLookup!A148,SOC2020_Structure!D:D,0)),INDEX(SOC2010_Structure!E:E,MATCH(sectorLookup!A148,SOC2010_Structure!D:D,0)))</f>
        <v>Assemblers and routine operatives n.e.c.</v>
      </c>
      <c r="C148" t="s">
        <v>236</v>
      </c>
      <c r="D148" t="str">
        <f>INDEX('group info'!B:B,MATCH(sectorLookup!C148,'group info'!A:A,0))</f>
        <v>Manufacturing</v>
      </c>
      <c r="E148" t="s">
        <v>241</v>
      </c>
      <c r="F148">
        <v>2010</v>
      </c>
      <c r="G148" t="str">
        <f t="shared" si="2"/>
        <v>Manufacturing SOC2010</v>
      </c>
    </row>
    <row r="149" spans="1:7" x14ac:dyDescent="0.35">
      <c r="A149">
        <v>8141</v>
      </c>
      <c r="B149" t="str">
        <f>IF(F149=2020,INDEX(SOC2020_Structure!E:E,MATCH(sectorLookup!A149,SOC2020_Structure!D:D,0)),INDEX(SOC2010_Structure!E:E,MATCH(sectorLookup!A149,SOC2010_Structure!D:D,0)))</f>
        <v>Scaffolders, stagers and riggers</v>
      </c>
      <c r="C149" t="s">
        <v>237</v>
      </c>
      <c r="D149" t="str">
        <f>INDEX('group info'!B:B,MATCH(sectorLookup!C149,'group info'!A:A,0))</f>
        <v>Construction</v>
      </c>
      <c r="E149" t="s">
        <v>241</v>
      </c>
      <c r="F149">
        <v>2010</v>
      </c>
      <c r="G149" t="str">
        <f t="shared" si="2"/>
        <v>Construction SOC2010</v>
      </c>
    </row>
    <row r="150" spans="1:7" x14ac:dyDescent="0.35">
      <c r="A150">
        <v>8142</v>
      </c>
      <c r="B150" t="str">
        <f>IF(F150=2020,INDEX(SOC2020_Structure!E:E,MATCH(sectorLookup!A150,SOC2020_Structure!D:D,0)),INDEX(SOC2010_Structure!E:E,MATCH(sectorLookup!A150,SOC2010_Structure!D:D,0)))</f>
        <v>Road construction operatives</v>
      </c>
      <c r="C150" t="s">
        <v>237</v>
      </c>
      <c r="D150" t="str">
        <f>INDEX('group info'!B:B,MATCH(sectorLookup!C150,'group info'!A:A,0))</f>
        <v>Construction</v>
      </c>
      <c r="E150" t="s">
        <v>241</v>
      </c>
      <c r="F150">
        <v>2010</v>
      </c>
      <c r="G150" t="str">
        <f t="shared" si="2"/>
        <v>Construction SOC2010</v>
      </c>
    </row>
    <row r="151" spans="1:7" x14ac:dyDescent="0.35">
      <c r="A151">
        <v>8143</v>
      </c>
      <c r="B151" t="str">
        <f>IF(F151=2020,INDEX(SOC2020_Structure!E:E,MATCH(sectorLookup!A151,SOC2020_Structure!D:D,0)),INDEX(SOC2010_Structure!E:E,MATCH(sectorLookup!A151,SOC2010_Structure!D:D,0)))</f>
        <v>Rail construction and maintenance operatives</v>
      </c>
      <c r="C151" t="s">
        <v>239</v>
      </c>
      <c r="D151" t="str">
        <f>INDEX('group info'!B:B,MATCH(sectorLookup!C151,'group info'!A:A,0))</f>
        <v>Haulage and logistics</v>
      </c>
      <c r="E151" t="s">
        <v>241</v>
      </c>
      <c r="F151">
        <v>2010</v>
      </c>
      <c r="G151" t="str">
        <f t="shared" si="2"/>
        <v>Haulage and logistics SOC2010</v>
      </c>
    </row>
    <row r="152" spans="1:7" x14ac:dyDescent="0.35">
      <c r="A152">
        <v>8149</v>
      </c>
      <c r="B152" t="str">
        <f>IF(F152=2020,INDEX(SOC2020_Structure!E:E,MATCH(sectorLookup!A152,SOC2020_Structure!D:D,0)),INDEX(SOC2010_Structure!E:E,MATCH(sectorLookup!A152,SOC2010_Structure!D:D,0)))</f>
        <v>Construction operatives n.e.c.</v>
      </c>
      <c r="C152" t="s">
        <v>237</v>
      </c>
      <c r="D152" t="str">
        <f>INDEX('group info'!B:B,MATCH(sectorLookup!C152,'group info'!A:A,0))</f>
        <v>Construction</v>
      </c>
      <c r="E152" t="s">
        <v>241</v>
      </c>
      <c r="F152">
        <v>2010</v>
      </c>
      <c r="G152" t="str">
        <f t="shared" si="2"/>
        <v>Construction SOC2010</v>
      </c>
    </row>
    <row r="153" spans="1:7" x14ac:dyDescent="0.35">
      <c r="A153">
        <v>8211</v>
      </c>
      <c r="B153" t="str">
        <f>IF(F153=2020,INDEX(SOC2020_Structure!E:E,MATCH(sectorLookup!A153,SOC2020_Structure!D:D,0)),INDEX(SOC2010_Structure!E:E,MATCH(sectorLookup!A153,SOC2010_Structure!D:D,0)))</f>
        <v>Large goods vehicle drivers</v>
      </c>
      <c r="C153" t="s">
        <v>239</v>
      </c>
      <c r="D153" t="str">
        <f>INDEX('group info'!B:B,MATCH(sectorLookup!C153,'group info'!A:A,0))</f>
        <v>Haulage and logistics</v>
      </c>
      <c r="E153" t="s">
        <v>241</v>
      </c>
      <c r="F153">
        <v>2010</v>
      </c>
      <c r="G153" t="str">
        <f t="shared" si="2"/>
        <v>Haulage and logistics SOC2010</v>
      </c>
    </row>
    <row r="154" spans="1:7" x14ac:dyDescent="0.35">
      <c r="A154">
        <v>8212</v>
      </c>
      <c r="B154" t="str">
        <f>IF(F154=2020,INDEX(SOC2020_Structure!E:E,MATCH(sectorLookup!A154,SOC2020_Structure!D:D,0)),INDEX(SOC2010_Structure!E:E,MATCH(sectorLookup!A154,SOC2010_Structure!D:D,0)))</f>
        <v>Van drivers</v>
      </c>
      <c r="C154" t="s">
        <v>239</v>
      </c>
      <c r="D154" t="str">
        <f>INDEX('group info'!B:B,MATCH(sectorLookup!C154,'group info'!A:A,0))</f>
        <v>Haulage and logistics</v>
      </c>
      <c r="E154" t="s">
        <v>241</v>
      </c>
      <c r="F154">
        <v>2010</v>
      </c>
      <c r="G154" t="str">
        <f t="shared" si="2"/>
        <v>Haulage and logistics SOC2010</v>
      </c>
    </row>
    <row r="155" spans="1:7" x14ac:dyDescent="0.35">
      <c r="A155">
        <v>8213</v>
      </c>
      <c r="B155" t="str">
        <f>IF(F155=2020,INDEX(SOC2020_Structure!E:E,MATCH(sectorLookup!A155,SOC2020_Structure!D:D,0)),INDEX(SOC2010_Structure!E:E,MATCH(sectorLookup!A155,SOC2010_Structure!D:D,0)))</f>
        <v>Bus and coach drivers</v>
      </c>
      <c r="C155" t="s">
        <v>239</v>
      </c>
      <c r="D155" t="str">
        <f>INDEX('group info'!B:B,MATCH(sectorLookup!C155,'group info'!A:A,0))</f>
        <v>Haulage and logistics</v>
      </c>
      <c r="E155" t="s">
        <v>241</v>
      </c>
      <c r="F155">
        <v>2010</v>
      </c>
      <c r="G155" t="str">
        <f t="shared" si="2"/>
        <v>Haulage and logistics SOC2010</v>
      </c>
    </row>
    <row r="156" spans="1:7" x14ac:dyDescent="0.35">
      <c r="A156">
        <v>8214</v>
      </c>
      <c r="B156" t="str">
        <f>IF(F156=2020,INDEX(SOC2020_Structure!E:E,MATCH(sectorLookup!A156,SOC2020_Structure!D:D,0)),INDEX(SOC2010_Structure!E:E,MATCH(sectorLookup!A156,SOC2010_Structure!D:D,0)))</f>
        <v>Taxi and cab drivers and chauffeurs</v>
      </c>
      <c r="C156" t="s">
        <v>239</v>
      </c>
      <c r="D156" t="str">
        <f>INDEX('group info'!B:B,MATCH(sectorLookup!C156,'group info'!A:A,0))</f>
        <v>Haulage and logistics</v>
      </c>
      <c r="E156" t="s">
        <v>241</v>
      </c>
      <c r="F156">
        <v>2010</v>
      </c>
      <c r="G156" t="str">
        <f t="shared" si="2"/>
        <v>Haulage and logistics SOC2010</v>
      </c>
    </row>
    <row r="157" spans="1:7" x14ac:dyDescent="0.35">
      <c r="A157">
        <v>8215</v>
      </c>
      <c r="B157" t="str">
        <f>IF(F157=2020,INDEX(SOC2020_Structure!E:E,MATCH(sectorLookup!A157,SOC2020_Structure!D:D,0)),INDEX(SOC2010_Structure!E:E,MATCH(sectorLookup!A157,SOC2010_Structure!D:D,0)))</f>
        <v>Driving instructors</v>
      </c>
      <c r="C157" t="s">
        <v>239</v>
      </c>
      <c r="D157" t="str">
        <f>INDEX('group info'!B:B,MATCH(sectorLookup!C157,'group info'!A:A,0))</f>
        <v>Haulage and logistics</v>
      </c>
      <c r="E157" t="s">
        <v>241</v>
      </c>
      <c r="F157">
        <v>2010</v>
      </c>
      <c r="G157" t="str">
        <f t="shared" si="2"/>
        <v>Haulage and logistics SOC2010</v>
      </c>
    </row>
    <row r="158" spans="1:7" x14ac:dyDescent="0.35">
      <c r="A158">
        <v>8221</v>
      </c>
      <c r="B158" t="str">
        <f>IF(F158=2020,INDEX(SOC2020_Structure!E:E,MATCH(sectorLookup!A158,SOC2020_Structure!D:D,0)),INDEX(SOC2010_Structure!E:E,MATCH(sectorLookup!A158,SOC2010_Structure!D:D,0)))</f>
        <v>Crane drivers</v>
      </c>
      <c r="C158" t="s">
        <v>237</v>
      </c>
      <c r="D158" t="str">
        <f>INDEX('group info'!B:B,MATCH(sectorLookup!C158,'group info'!A:A,0))</f>
        <v>Construction</v>
      </c>
      <c r="E158" t="s">
        <v>241</v>
      </c>
      <c r="F158">
        <v>2010</v>
      </c>
      <c r="G158" t="str">
        <f t="shared" si="2"/>
        <v>Construction SOC2010</v>
      </c>
    </row>
    <row r="159" spans="1:7" x14ac:dyDescent="0.35">
      <c r="A159">
        <v>8222</v>
      </c>
      <c r="B159" t="str">
        <f>IF(F159=2020,INDEX(SOC2020_Structure!E:E,MATCH(sectorLookup!A159,SOC2020_Structure!D:D,0)),INDEX(SOC2010_Structure!E:E,MATCH(sectorLookup!A159,SOC2010_Structure!D:D,0)))</f>
        <v>Fork-lift truck drivers</v>
      </c>
      <c r="C159" t="s">
        <v>239</v>
      </c>
      <c r="D159" t="str">
        <f>INDEX('group info'!B:B,MATCH(sectorLookup!C159,'group info'!A:A,0))</f>
        <v>Haulage and logistics</v>
      </c>
      <c r="E159" t="s">
        <v>241</v>
      </c>
      <c r="F159">
        <v>2010</v>
      </c>
      <c r="G159" t="str">
        <f t="shared" si="2"/>
        <v>Haulage and logistics SOC2010</v>
      </c>
    </row>
    <row r="160" spans="1:7" x14ac:dyDescent="0.35">
      <c r="A160">
        <v>8223</v>
      </c>
      <c r="B160" t="str">
        <f>IF(F160=2020,INDEX(SOC2020_Structure!E:E,MATCH(sectorLookup!A160,SOC2020_Structure!D:D,0)),INDEX(SOC2010_Structure!E:E,MATCH(sectorLookup!A160,SOC2010_Structure!D:D,0)))</f>
        <v>Agricultural machinery drivers</v>
      </c>
      <c r="C160" t="s">
        <v>239</v>
      </c>
      <c r="D160" t="str">
        <f>INDEX('group info'!B:B,MATCH(sectorLookup!C160,'group info'!A:A,0))</f>
        <v>Haulage and logistics</v>
      </c>
      <c r="E160" t="s">
        <v>241</v>
      </c>
      <c r="F160">
        <v>2010</v>
      </c>
      <c r="G160" t="str">
        <f t="shared" si="2"/>
        <v>Haulage and logistics SOC2010</v>
      </c>
    </row>
    <row r="161" spans="1:7" x14ac:dyDescent="0.35">
      <c r="A161">
        <v>8229</v>
      </c>
      <c r="B161" t="str">
        <f>IF(F161=2020,INDEX(SOC2020_Structure!E:E,MATCH(sectorLookup!A161,SOC2020_Structure!D:D,0)),INDEX(SOC2010_Structure!E:E,MATCH(sectorLookup!A161,SOC2010_Structure!D:D,0)))</f>
        <v>Mobile machine drivers and operatives n.e.c.</v>
      </c>
      <c r="C161" t="s">
        <v>239</v>
      </c>
      <c r="D161" t="str">
        <f>INDEX('group info'!B:B,MATCH(sectorLookup!C161,'group info'!A:A,0))</f>
        <v>Haulage and logistics</v>
      </c>
      <c r="E161" t="s">
        <v>241</v>
      </c>
      <c r="F161">
        <v>2010</v>
      </c>
      <c r="G161" t="str">
        <f t="shared" si="2"/>
        <v>Haulage and logistics SOC2010</v>
      </c>
    </row>
    <row r="162" spans="1:7" x14ac:dyDescent="0.35">
      <c r="A162">
        <v>8231</v>
      </c>
      <c r="B162" t="str">
        <f>IF(F162=2020,INDEX(SOC2020_Structure!E:E,MATCH(sectorLookup!A162,SOC2020_Structure!D:D,0)),INDEX(SOC2010_Structure!E:E,MATCH(sectorLookup!A162,SOC2010_Structure!D:D,0)))</f>
        <v>Train and tram drivers</v>
      </c>
      <c r="C162" t="s">
        <v>239</v>
      </c>
      <c r="D162" t="str">
        <f>INDEX('group info'!B:B,MATCH(sectorLookup!C162,'group info'!A:A,0))</f>
        <v>Haulage and logistics</v>
      </c>
      <c r="E162" t="s">
        <v>241</v>
      </c>
      <c r="F162">
        <v>2010</v>
      </c>
      <c r="G162" t="str">
        <f t="shared" si="2"/>
        <v>Haulage and logistics SOC2010</v>
      </c>
    </row>
    <row r="163" spans="1:7" x14ac:dyDescent="0.35">
      <c r="A163">
        <v>8232</v>
      </c>
      <c r="B163" t="str">
        <f>IF(F163=2020,INDEX(SOC2020_Structure!E:E,MATCH(sectorLookup!A163,SOC2020_Structure!D:D,0)),INDEX(SOC2010_Structure!E:E,MATCH(sectorLookup!A163,SOC2010_Structure!D:D,0)))</f>
        <v>Marine and waterways transport operatives</v>
      </c>
      <c r="C163" t="s">
        <v>239</v>
      </c>
      <c r="D163" t="str">
        <f>INDEX('group info'!B:B,MATCH(sectorLookup!C163,'group info'!A:A,0))</f>
        <v>Haulage and logistics</v>
      </c>
      <c r="E163" t="s">
        <v>241</v>
      </c>
      <c r="F163">
        <v>2010</v>
      </c>
      <c r="G163" t="str">
        <f t="shared" si="2"/>
        <v>Haulage and logistics SOC2010</v>
      </c>
    </row>
    <row r="164" spans="1:7" x14ac:dyDescent="0.35">
      <c r="A164">
        <v>8233</v>
      </c>
      <c r="B164" t="str">
        <f>IF(F164=2020,INDEX(SOC2020_Structure!E:E,MATCH(sectorLookup!A164,SOC2020_Structure!D:D,0)),INDEX(SOC2010_Structure!E:E,MATCH(sectorLookup!A164,SOC2010_Structure!D:D,0)))</f>
        <v>Air transport operatives</v>
      </c>
      <c r="C164" t="s">
        <v>239</v>
      </c>
      <c r="D164" t="str">
        <f>INDEX('group info'!B:B,MATCH(sectorLookup!C164,'group info'!A:A,0))</f>
        <v>Haulage and logistics</v>
      </c>
      <c r="E164" t="s">
        <v>241</v>
      </c>
      <c r="F164">
        <v>2010</v>
      </c>
      <c r="G164" t="str">
        <f t="shared" si="2"/>
        <v>Haulage and logistics SOC2010</v>
      </c>
    </row>
    <row r="165" spans="1:7" x14ac:dyDescent="0.35">
      <c r="A165">
        <v>8234</v>
      </c>
      <c r="B165" t="str">
        <f>IF(F165=2020,INDEX(SOC2020_Structure!E:E,MATCH(sectorLookup!A165,SOC2020_Structure!D:D,0)),INDEX(SOC2010_Structure!E:E,MATCH(sectorLookup!A165,SOC2010_Structure!D:D,0)))</f>
        <v>Rail transport operatives</v>
      </c>
      <c r="C165" t="s">
        <v>239</v>
      </c>
      <c r="D165" t="str">
        <f>INDEX('group info'!B:B,MATCH(sectorLookup!C165,'group info'!A:A,0))</f>
        <v>Haulage and logistics</v>
      </c>
      <c r="E165" t="s">
        <v>241</v>
      </c>
      <c r="F165">
        <v>2010</v>
      </c>
      <c r="G165" t="str">
        <f t="shared" si="2"/>
        <v>Haulage and logistics SOC2010</v>
      </c>
    </row>
    <row r="166" spans="1:7" x14ac:dyDescent="0.35">
      <c r="A166">
        <v>8239</v>
      </c>
      <c r="B166" t="str">
        <f>IF(F166=2020,INDEX(SOC2020_Structure!E:E,MATCH(sectorLookup!A166,SOC2020_Structure!D:D,0)),INDEX(SOC2010_Structure!E:E,MATCH(sectorLookup!A166,SOC2010_Structure!D:D,0)))</f>
        <v>Other drivers and transport operatives n.e.c.</v>
      </c>
      <c r="C166" t="s">
        <v>239</v>
      </c>
      <c r="D166" t="str">
        <f>INDEX('group info'!B:B,MATCH(sectorLookup!C166,'group info'!A:A,0))</f>
        <v>Haulage and logistics</v>
      </c>
      <c r="E166" t="s">
        <v>241</v>
      </c>
      <c r="F166">
        <v>2010</v>
      </c>
      <c r="G166" t="str">
        <f t="shared" si="2"/>
        <v>Haulage and logistics SOC2010</v>
      </c>
    </row>
    <row r="167" spans="1:7" x14ac:dyDescent="0.35">
      <c r="A167">
        <v>9120</v>
      </c>
      <c r="B167" t="str">
        <f>IF(F167=2020,INDEX(SOC2020_Structure!E:E,MATCH(sectorLookup!A167,SOC2020_Structure!D:D,0)),INDEX(SOC2010_Structure!E:E,MATCH(sectorLookup!A167,SOC2010_Structure!D:D,0)))</f>
        <v>Elementary construction occupations</v>
      </c>
      <c r="C167" t="s">
        <v>237</v>
      </c>
      <c r="D167" t="str">
        <f>INDEX('group info'!B:B,MATCH(sectorLookup!C167,'group info'!A:A,0))</f>
        <v>Construction</v>
      </c>
      <c r="E167" t="s">
        <v>241</v>
      </c>
      <c r="F167">
        <v>2010</v>
      </c>
      <c r="G167" t="str">
        <f t="shared" si="2"/>
        <v>Construction SOC2010</v>
      </c>
    </row>
    <row r="168" spans="1:7" x14ac:dyDescent="0.35">
      <c r="A168">
        <v>9134</v>
      </c>
      <c r="B168" t="str">
        <f>IF(F168=2020,INDEX(SOC2020_Structure!E:E,MATCH(sectorLookup!A168,SOC2020_Structure!D:D,0)),INDEX(SOC2010_Structure!E:E,MATCH(sectorLookup!A168,SOC2010_Structure!D:D,0)))</f>
        <v>Packers, bottlers, canners and fillers</v>
      </c>
      <c r="C168" t="s">
        <v>236</v>
      </c>
      <c r="D168" t="str">
        <f>INDEX('group info'!B:B,MATCH(sectorLookup!C168,'group info'!A:A,0))</f>
        <v>Manufacturing</v>
      </c>
      <c r="E168" t="s">
        <v>241</v>
      </c>
      <c r="F168">
        <v>2010</v>
      </c>
      <c r="G168" t="str">
        <f t="shared" si="2"/>
        <v>Manufacturing SOC2010</v>
      </c>
    </row>
    <row r="169" spans="1:7" x14ac:dyDescent="0.35">
      <c r="A169">
        <v>9139</v>
      </c>
      <c r="B169" t="str">
        <f>IF(F169=2020,INDEX(SOC2020_Structure!E:E,MATCH(sectorLookup!A169,SOC2020_Structure!D:D,0)),INDEX(SOC2010_Structure!E:E,MATCH(sectorLookup!A169,SOC2010_Structure!D:D,0)))</f>
        <v>Elementary process plant occupations n.e.c.</v>
      </c>
      <c r="C169" t="s">
        <v>236</v>
      </c>
      <c r="D169" t="str">
        <f>INDEX('group info'!B:B,MATCH(sectorLookup!C169,'group info'!A:A,0))</f>
        <v>Manufacturing</v>
      </c>
      <c r="E169" t="s">
        <v>241</v>
      </c>
      <c r="F169">
        <v>2010</v>
      </c>
      <c r="G169" t="str">
        <f t="shared" si="2"/>
        <v>Manufacturing SOC2010</v>
      </c>
    </row>
    <row r="170" spans="1:7" x14ac:dyDescent="0.35">
      <c r="A170">
        <v>9236</v>
      </c>
      <c r="B170" t="str">
        <f>IF(F170=2020,INDEX(SOC2020_Structure!E:E,MATCH(sectorLookup!A170,SOC2020_Structure!D:D,0)),INDEX(SOC2010_Structure!E:E,MATCH(sectorLookup!A170,SOC2010_Structure!D:D,0)))</f>
        <v>Vehicle valeters and cleaners</v>
      </c>
      <c r="C170" t="s">
        <v>239</v>
      </c>
      <c r="D170" t="str">
        <f>INDEX('group info'!B:B,MATCH(sectorLookup!C170,'group info'!A:A,0))</f>
        <v>Haulage and logistics</v>
      </c>
      <c r="E170" t="s">
        <v>241</v>
      </c>
      <c r="F170">
        <v>2010</v>
      </c>
      <c r="G170" t="str">
        <f t="shared" si="2"/>
        <v>Haulage and logistics SOC2010</v>
      </c>
    </row>
    <row r="171" spans="1:7" x14ac:dyDescent="0.35">
      <c r="A171">
        <v>9271</v>
      </c>
      <c r="B171" t="str">
        <f>IF(F171=2020,INDEX(SOC2020_Structure!E:E,MATCH(sectorLookup!A171,SOC2020_Structure!D:D,0)),INDEX(SOC2010_Structure!E:E,MATCH(sectorLookup!A171,SOC2010_Structure!D:D,0)))</f>
        <v>Hospital porters</v>
      </c>
      <c r="C171" t="s">
        <v>240</v>
      </c>
      <c r="D171" t="str">
        <f>INDEX('group info'!B:B,MATCH(sectorLookup!C171,'group info'!A:A,0))</f>
        <v>Health and social care</v>
      </c>
      <c r="E171" t="s">
        <v>241</v>
      </c>
      <c r="F171">
        <v>2010</v>
      </c>
      <c r="G171" t="str">
        <f t="shared" si="2"/>
        <v>Health and social care SOC2010</v>
      </c>
    </row>
    <row r="172" spans="1:7" x14ac:dyDescent="0.35">
      <c r="A172">
        <v>9252</v>
      </c>
      <c r="B172" t="str">
        <f>IF(F172=2020,INDEX(SOC2020_Structure!E:E,MATCH(sectorLookup!A172,SOC2020_Structure!D:D,0)),INDEX(SOC2010_Structure!E:E,MATCH(sectorLookup!A172,SOC2010_Structure!D:D,0)))</f>
        <v>Warehouse operatives</v>
      </c>
      <c r="C172" t="s">
        <v>263</v>
      </c>
      <c r="D172" t="str">
        <f>INDEX('group info'!B:B,MATCH(sectorLookup!C172,'group info'!A:A,0))</f>
        <v>Green</v>
      </c>
      <c r="E172" t="s">
        <v>282</v>
      </c>
      <c r="F172">
        <v>2020</v>
      </c>
      <c r="G172" t="str">
        <f t="shared" si="2"/>
        <v>Green SOC2020</v>
      </c>
    </row>
    <row r="173" spans="1:7" x14ac:dyDescent="0.35">
      <c r="A173">
        <v>9225</v>
      </c>
      <c r="B173" t="str">
        <f>IF(F173=2020,INDEX(SOC2020_Structure!E:E,MATCH(sectorLookup!A173,SOC2020_Structure!D:D,0)),INDEX(SOC2010_Structure!E:E,MATCH(sectorLookup!A173,SOC2010_Structure!D:D,0)))</f>
        <v>Refuse and salvage occupations</v>
      </c>
      <c r="C173" t="s">
        <v>263</v>
      </c>
      <c r="D173" t="str">
        <f>INDEX('group info'!B:B,MATCH(sectorLookup!C173,'group info'!A:A,0))</f>
        <v>Green</v>
      </c>
      <c r="E173" t="s">
        <v>282</v>
      </c>
      <c r="F173">
        <v>2020</v>
      </c>
      <c r="G173" t="str">
        <f t="shared" si="2"/>
        <v>Green SOC2020</v>
      </c>
    </row>
    <row r="174" spans="1:7" x14ac:dyDescent="0.35">
      <c r="A174">
        <v>9139</v>
      </c>
      <c r="B174" t="str">
        <f>IF(F174=2020,INDEX(SOC2020_Structure!E:E,MATCH(sectorLookup!A174,SOC2020_Structure!D:D,0)),INDEX(SOC2010_Structure!E:E,MATCH(sectorLookup!A174,SOC2010_Structure!D:D,0)))</f>
        <v>Elementary process plant occupations n.e.c.</v>
      </c>
      <c r="C174" t="s">
        <v>263</v>
      </c>
      <c r="D174" t="str">
        <f>INDEX('group info'!B:B,MATCH(sectorLookup!C174,'group info'!A:A,0))</f>
        <v>Green</v>
      </c>
      <c r="E174" t="s">
        <v>282</v>
      </c>
      <c r="F174">
        <v>2020</v>
      </c>
      <c r="G174" t="str">
        <f t="shared" si="2"/>
        <v>Green SOC2020</v>
      </c>
    </row>
    <row r="175" spans="1:7" x14ac:dyDescent="0.35">
      <c r="A175">
        <v>9132</v>
      </c>
      <c r="B175" t="str">
        <f>IF(F175=2020,INDEX(SOC2020_Structure!E:E,MATCH(sectorLookup!A175,SOC2020_Structure!D:D,0)),INDEX(SOC2010_Structure!E:E,MATCH(sectorLookup!A175,SOC2010_Structure!D:D,0)))</f>
        <v>Packers, bottlers, canners and fillers</v>
      </c>
      <c r="C175" t="s">
        <v>263</v>
      </c>
      <c r="D175" t="str">
        <f>INDEX('group info'!B:B,MATCH(sectorLookup!C175,'group info'!A:A,0))</f>
        <v>Green</v>
      </c>
      <c r="E175" t="s">
        <v>282</v>
      </c>
      <c r="F175">
        <v>2020</v>
      </c>
      <c r="G175" t="str">
        <f t="shared" si="2"/>
        <v>Green SOC2020</v>
      </c>
    </row>
    <row r="176" spans="1:7" x14ac:dyDescent="0.35">
      <c r="A176">
        <v>9131</v>
      </c>
      <c r="B176" t="str">
        <f>IF(F176=2020,INDEX(SOC2020_Structure!E:E,MATCH(sectorLookup!A176,SOC2020_Structure!D:D,0)),INDEX(SOC2010_Structure!E:E,MATCH(sectorLookup!A176,SOC2010_Structure!D:D,0)))</f>
        <v>Industrial cleaning process occupations</v>
      </c>
      <c r="C176" t="s">
        <v>263</v>
      </c>
      <c r="D176" t="str">
        <f>INDEX('group info'!B:B,MATCH(sectorLookup!C176,'group info'!A:A,0))</f>
        <v>Green</v>
      </c>
      <c r="E176" t="s">
        <v>282</v>
      </c>
      <c r="F176">
        <v>2020</v>
      </c>
      <c r="G176" t="str">
        <f t="shared" si="2"/>
        <v>Green SOC2020</v>
      </c>
    </row>
    <row r="177" spans="1:7" x14ac:dyDescent="0.35">
      <c r="A177">
        <v>9129</v>
      </c>
      <c r="B177" t="str">
        <f>IF(F177=2020,INDEX(SOC2020_Structure!E:E,MATCH(sectorLookup!A177,SOC2020_Structure!D:D,0)),INDEX(SOC2010_Structure!E:E,MATCH(sectorLookup!A177,SOC2010_Structure!D:D,0)))</f>
        <v>Elementary construction occupations n.e.c.</v>
      </c>
      <c r="C177" t="s">
        <v>263</v>
      </c>
      <c r="D177" t="str">
        <f>INDEX('group info'!B:B,MATCH(sectorLookup!C177,'group info'!A:A,0))</f>
        <v>Green</v>
      </c>
      <c r="E177" t="s">
        <v>282</v>
      </c>
      <c r="F177">
        <v>2020</v>
      </c>
      <c r="G177" t="str">
        <f t="shared" si="2"/>
        <v>Green SOC2020</v>
      </c>
    </row>
    <row r="178" spans="1:7" x14ac:dyDescent="0.35">
      <c r="A178">
        <v>8229</v>
      </c>
      <c r="B178" t="str">
        <f>IF(F178=2020,INDEX(SOC2020_Structure!E:E,MATCH(sectorLookup!A178,SOC2020_Structure!D:D,0)),INDEX(SOC2010_Structure!E:E,MATCH(sectorLookup!A178,SOC2010_Structure!D:D,0)))</f>
        <v>Mobile machine drivers and operatives n.e.c.</v>
      </c>
      <c r="C178" t="s">
        <v>263</v>
      </c>
      <c r="D178" t="str">
        <f>INDEX('group info'!B:B,MATCH(sectorLookup!C178,'group info'!A:A,0))</f>
        <v>Green</v>
      </c>
      <c r="E178" t="s">
        <v>282</v>
      </c>
      <c r="F178">
        <v>2020</v>
      </c>
      <c r="G178" t="str">
        <f t="shared" si="2"/>
        <v>Green SOC2020</v>
      </c>
    </row>
    <row r="179" spans="1:7" x14ac:dyDescent="0.35">
      <c r="A179">
        <v>8222</v>
      </c>
      <c r="B179" t="str">
        <f>IF(F179=2020,INDEX(SOC2020_Structure!E:E,MATCH(sectorLookup!A179,SOC2020_Structure!D:D,0)),INDEX(SOC2010_Structure!E:E,MATCH(sectorLookup!A179,SOC2010_Structure!D:D,0)))</f>
        <v>Fork-lift truck drivers</v>
      </c>
      <c r="C179" t="s">
        <v>263</v>
      </c>
      <c r="D179" t="str">
        <f>INDEX('group info'!B:B,MATCH(sectorLookup!C179,'group info'!A:A,0))</f>
        <v>Green</v>
      </c>
      <c r="E179" t="s">
        <v>282</v>
      </c>
      <c r="F179">
        <v>2020</v>
      </c>
      <c r="G179" t="str">
        <f t="shared" si="2"/>
        <v>Green SOC2020</v>
      </c>
    </row>
    <row r="180" spans="1:7" x14ac:dyDescent="0.35">
      <c r="A180">
        <v>8221</v>
      </c>
      <c r="B180" t="str">
        <f>IF(F180=2020,INDEX(SOC2020_Structure!E:E,MATCH(sectorLookup!A180,SOC2020_Structure!D:D,0)),INDEX(SOC2010_Structure!E:E,MATCH(sectorLookup!A180,SOC2010_Structure!D:D,0)))</f>
        <v>Crane drivers</v>
      </c>
      <c r="C180" t="s">
        <v>263</v>
      </c>
      <c r="D180" t="str">
        <f>INDEX('group info'!B:B,MATCH(sectorLookup!C180,'group info'!A:A,0))</f>
        <v>Green</v>
      </c>
      <c r="E180" t="s">
        <v>282</v>
      </c>
      <c r="F180">
        <v>2020</v>
      </c>
      <c r="G180" t="str">
        <f t="shared" si="2"/>
        <v>Green SOC2020</v>
      </c>
    </row>
    <row r="181" spans="1:7" x14ac:dyDescent="0.35">
      <c r="A181">
        <v>8159</v>
      </c>
      <c r="B181" t="str">
        <f>IF(F181=2020,INDEX(SOC2020_Structure!E:E,MATCH(sectorLookup!A181,SOC2020_Structure!D:D,0)),INDEX(SOC2010_Structure!E:E,MATCH(sectorLookup!A181,SOC2010_Structure!D:D,0)))</f>
        <v>Construction operatives n.e.c.</v>
      </c>
      <c r="C181" t="s">
        <v>263</v>
      </c>
      <c r="D181" t="str">
        <f>INDEX('group info'!B:B,MATCH(sectorLookup!C181,'group info'!A:A,0))</f>
        <v>Green</v>
      </c>
      <c r="E181" t="s">
        <v>282</v>
      </c>
      <c r="F181">
        <v>2020</v>
      </c>
      <c r="G181" t="str">
        <f t="shared" si="2"/>
        <v>Green SOC2020</v>
      </c>
    </row>
    <row r="182" spans="1:7" x14ac:dyDescent="0.35">
      <c r="A182">
        <v>8151</v>
      </c>
      <c r="B182" t="str">
        <f>IF(F182=2020,INDEX(SOC2020_Structure!E:E,MATCH(sectorLookup!A182,SOC2020_Structure!D:D,0)),INDEX(SOC2010_Structure!E:E,MATCH(sectorLookup!A182,SOC2010_Structure!D:D,0)))</f>
        <v>Scaffolders, stagers and riggers</v>
      </c>
      <c r="C182" t="s">
        <v>263</v>
      </c>
      <c r="D182" t="str">
        <f>INDEX('group info'!B:B,MATCH(sectorLookup!C182,'group info'!A:A,0))</f>
        <v>Green</v>
      </c>
      <c r="E182" t="s">
        <v>282</v>
      </c>
      <c r="F182">
        <v>2020</v>
      </c>
      <c r="G182" t="str">
        <f t="shared" si="2"/>
        <v>Green SOC2020</v>
      </c>
    </row>
    <row r="183" spans="1:7" x14ac:dyDescent="0.35">
      <c r="A183">
        <v>8149</v>
      </c>
      <c r="B183" t="str">
        <f>IF(F183=2020,INDEX(SOC2020_Structure!E:E,MATCH(sectorLookup!A183,SOC2020_Structure!D:D,0)),INDEX(SOC2010_Structure!E:E,MATCH(sectorLookup!A183,SOC2010_Structure!D:D,0)))</f>
        <v>Assemblers and routine operatives n.e.c.</v>
      </c>
      <c r="C183" t="s">
        <v>263</v>
      </c>
      <c r="D183" t="str">
        <f>INDEX('group info'!B:B,MATCH(sectorLookup!C183,'group info'!A:A,0))</f>
        <v>Green</v>
      </c>
      <c r="E183" t="s">
        <v>282</v>
      </c>
      <c r="F183">
        <v>2020</v>
      </c>
      <c r="G183" t="str">
        <f t="shared" si="2"/>
        <v>Green SOC2020</v>
      </c>
    </row>
    <row r="184" spans="1:7" x14ac:dyDescent="0.35">
      <c r="A184">
        <v>8144</v>
      </c>
      <c r="B184" t="str">
        <f>IF(F184=2020,INDEX(SOC2020_Structure!E:E,MATCH(sectorLookup!A184,SOC2020_Structure!D:D,0)),INDEX(SOC2010_Structure!E:E,MATCH(sectorLookup!A184,SOC2010_Structure!D:D,0)))</f>
        <v>Weighers, graders and sorters</v>
      </c>
      <c r="C184" t="s">
        <v>263</v>
      </c>
      <c r="D184" t="str">
        <f>INDEX('group info'!B:B,MATCH(sectorLookup!C184,'group info'!A:A,0))</f>
        <v>Green</v>
      </c>
      <c r="E184" t="s">
        <v>282</v>
      </c>
      <c r="F184">
        <v>2020</v>
      </c>
      <c r="G184" t="str">
        <f t="shared" si="2"/>
        <v>Green SOC2020</v>
      </c>
    </row>
    <row r="185" spans="1:7" x14ac:dyDescent="0.35">
      <c r="A185">
        <v>8139</v>
      </c>
      <c r="B185" t="str">
        <f>IF(F185=2020,INDEX(SOC2020_Structure!E:E,MATCH(sectorLookup!A185,SOC2020_Structure!D:D,0)),INDEX(SOC2010_Structure!E:E,MATCH(sectorLookup!A185,SOC2010_Structure!D:D,0)))</f>
        <v>Plant and machine operatives n.e.c.</v>
      </c>
      <c r="C185" t="s">
        <v>263</v>
      </c>
      <c r="D185" t="str">
        <f>INDEX('group info'!B:B,MATCH(sectorLookup!C185,'group info'!A:A,0))</f>
        <v>Green</v>
      </c>
      <c r="E185" t="s">
        <v>282</v>
      </c>
      <c r="F185">
        <v>2020</v>
      </c>
      <c r="G185" t="str">
        <f t="shared" si="2"/>
        <v>Green SOC2020</v>
      </c>
    </row>
    <row r="186" spans="1:7" x14ac:dyDescent="0.35">
      <c r="A186">
        <v>8133</v>
      </c>
      <c r="B186" t="str">
        <f>IF(F186=2020,INDEX(SOC2020_Structure!E:E,MATCH(sectorLookup!A186,SOC2020_Structure!D:D,0)),INDEX(SOC2010_Structure!E:E,MATCH(sectorLookup!A186,SOC2010_Structure!D:D,0)))</f>
        <v>Energy plant operatives</v>
      </c>
      <c r="C186" t="s">
        <v>263</v>
      </c>
      <c r="D186" t="str">
        <f>INDEX('group info'!B:B,MATCH(sectorLookup!C186,'group info'!A:A,0))</f>
        <v>Green</v>
      </c>
      <c r="E186" t="s">
        <v>282</v>
      </c>
      <c r="F186">
        <v>2020</v>
      </c>
      <c r="G186" t="str">
        <f t="shared" si="2"/>
        <v>Green SOC2020</v>
      </c>
    </row>
    <row r="187" spans="1:7" x14ac:dyDescent="0.35">
      <c r="A187">
        <v>8119</v>
      </c>
      <c r="B187" t="str">
        <f>IF(F187=2020,INDEX(SOC2020_Structure!E:E,MATCH(sectorLookup!A187,SOC2020_Structure!D:D,0)),INDEX(SOC2010_Structure!E:E,MATCH(sectorLookup!A187,SOC2010_Structure!D:D,0)))</f>
        <v>Process operatives n.e.c.</v>
      </c>
      <c r="C187" t="s">
        <v>263</v>
      </c>
      <c r="D187" t="str">
        <f>INDEX('group info'!B:B,MATCH(sectorLookup!C187,'group info'!A:A,0))</f>
        <v>Green</v>
      </c>
      <c r="E187" t="s">
        <v>282</v>
      </c>
      <c r="F187">
        <v>2020</v>
      </c>
      <c r="G187" t="str">
        <f t="shared" si="2"/>
        <v>Green SOC2020</v>
      </c>
    </row>
    <row r="188" spans="1:7" x14ac:dyDescent="0.35">
      <c r="A188">
        <v>8113</v>
      </c>
      <c r="B188" t="str">
        <f>IF(F188=2020,INDEX(SOC2020_Structure!E:E,MATCH(sectorLookup!A188,SOC2020_Structure!D:D,0)),INDEX(SOC2010_Structure!E:E,MATCH(sectorLookup!A188,SOC2010_Structure!D:D,0)))</f>
        <v>Chemical and related process operatives</v>
      </c>
      <c r="C188" t="s">
        <v>263</v>
      </c>
      <c r="D188" t="str">
        <f>INDEX('group info'!B:B,MATCH(sectorLookup!C188,'group info'!A:A,0))</f>
        <v>Green</v>
      </c>
      <c r="E188" t="s">
        <v>282</v>
      </c>
      <c r="F188">
        <v>2020</v>
      </c>
      <c r="G188" t="str">
        <f t="shared" si="2"/>
        <v>Green SOC2020</v>
      </c>
    </row>
    <row r="189" spans="1:7" x14ac:dyDescent="0.35">
      <c r="A189">
        <v>7132</v>
      </c>
      <c r="B189" t="str">
        <f>IF(F189=2020,INDEX(SOC2020_Structure!E:E,MATCH(sectorLookup!A189,SOC2020_Structure!D:D,0)),INDEX(SOC2010_Structure!E:E,MATCH(sectorLookup!A189,SOC2010_Structure!D:D,0)))</f>
        <v>Sales supervisors - retail and wholesale</v>
      </c>
      <c r="C189" t="s">
        <v>263</v>
      </c>
      <c r="D189" t="str">
        <f>INDEX('group info'!B:B,MATCH(sectorLookup!C189,'group info'!A:A,0))</f>
        <v>Green</v>
      </c>
      <c r="E189" t="s">
        <v>282</v>
      </c>
      <c r="F189">
        <v>2020</v>
      </c>
      <c r="G189" t="str">
        <f t="shared" si="2"/>
        <v>Green SOC2020</v>
      </c>
    </row>
    <row r="190" spans="1:7" x14ac:dyDescent="0.35">
      <c r="A190">
        <v>5330</v>
      </c>
      <c r="B190" t="str">
        <f>IF(F190=2020,INDEX(SOC2020_Structure!E:E,MATCH(sectorLookup!A190,SOC2020_Structure!D:D,0)),INDEX(SOC2010_Structure!E:E,MATCH(sectorLookup!A190,SOC2010_Structure!D:D,0)))</f>
        <v>Construction and building trades supervisors</v>
      </c>
      <c r="C190" t="s">
        <v>263</v>
      </c>
      <c r="D190" t="str">
        <f>INDEX('group info'!B:B,MATCH(sectorLookup!C190,'group info'!A:A,0))</f>
        <v>Green</v>
      </c>
      <c r="E190" t="s">
        <v>282</v>
      </c>
      <c r="F190">
        <v>2020</v>
      </c>
      <c r="G190" t="str">
        <f t="shared" si="2"/>
        <v>Green SOC2020</v>
      </c>
    </row>
    <row r="191" spans="1:7" x14ac:dyDescent="0.35">
      <c r="A191">
        <v>5311</v>
      </c>
      <c r="B191" t="str">
        <f>IF(F191=2020,INDEX(SOC2020_Structure!E:E,MATCH(sectorLookup!A191,SOC2020_Structure!D:D,0)),INDEX(SOC2010_Structure!E:E,MATCH(sectorLookup!A191,SOC2010_Structure!D:D,0)))</f>
        <v>Steel erectors</v>
      </c>
      <c r="C191" t="s">
        <v>263</v>
      </c>
      <c r="D191" t="str">
        <f>INDEX('group info'!B:B,MATCH(sectorLookup!C191,'group info'!A:A,0))</f>
        <v>Green</v>
      </c>
      <c r="E191" t="s">
        <v>282</v>
      </c>
      <c r="F191">
        <v>2020</v>
      </c>
      <c r="G191" t="str">
        <f t="shared" si="2"/>
        <v>Green SOC2020</v>
      </c>
    </row>
    <row r="192" spans="1:7" x14ac:dyDescent="0.35">
      <c r="A192">
        <v>5224</v>
      </c>
      <c r="B192" t="str">
        <f>IF(F192=2020,INDEX(SOC2020_Structure!E:E,MATCH(sectorLookup!A192,SOC2020_Structure!D:D,0)),INDEX(SOC2010_Structure!E:E,MATCH(sectorLookup!A192,SOC2010_Structure!D:D,0)))</f>
        <v>Precision instrument makers and repairers</v>
      </c>
      <c r="C192" t="s">
        <v>263</v>
      </c>
      <c r="D192" t="str">
        <f>INDEX('group info'!B:B,MATCH(sectorLookup!C192,'group info'!A:A,0))</f>
        <v>Green</v>
      </c>
      <c r="E192" t="s">
        <v>282</v>
      </c>
      <c r="F192">
        <v>2020</v>
      </c>
      <c r="G192" t="str">
        <f t="shared" si="2"/>
        <v>Green SOC2020</v>
      </c>
    </row>
    <row r="193" spans="1:7" x14ac:dyDescent="0.35">
      <c r="A193">
        <v>5223</v>
      </c>
      <c r="B193" t="str">
        <f>IF(F193=2020,INDEX(SOC2020_Structure!E:E,MATCH(sectorLookup!A193,SOC2020_Structure!D:D,0)),INDEX(SOC2010_Structure!E:E,MATCH(sectorLookup!A193,SOC2010_Structure!D:D,0)))</f>
        <v>Metal working production and maintenance fitters</v>
      </c>
      <c r="C193" t="s">
        <v>263</v>
      </c>
      <c r="D193" t="str">
        <f>INDEX('group info'!B:B,MATCH(sectorLookup!C193,'group info'!A:A,0))</f>
        <v>Green</v>
      </c>
      <c r="E193" t="s">
        <v>282</v>
      </c>
      <c r="F193">
        <v>2020</v>
      </c>
      <c r="G193" t="str">
        <f t="shared" si="2"/>
        <v>Green SOC2020</v>
      </c>
    </row>
    <row r="194" spans="1:7" x14ac:dyDescent="0.35">
      <c r="A194">
        <v>5221</v>
      </c>
      <c r="B194" t="str">
        <f>IF(F194=2020,INDEX(SOC2020_Structure!E:E,MATCH(sectorLookup!A194,SOC2020_Structure!D:D,0)),INDEX(SOC2010_Structure!E:E,MATCH(sectorLookup!A194,SOC2010_Structure!D:D,0)))</f>
        <v>Metal machining setters and setter-operators</v>
      </c>
      <c r="C194" t="s">
        <v>263</v>
      </c>
      <c r="D194" t="str">
        <f>INDEX('group info'!B:B,MATCH(sectorLookup!C194,'group info'!A:A,0))</f>
        <v>Green</v>
      </c>
      <c r="E194" t="s">
        <v>282</v>
      </c>
      <c r="F194">
        <v>2020</v>
      </c>
      <c r="G194" t="str">
        <f t="shared" si="2"/>
        <v>Green SOC2020</v>
      </c>
    </row>
    <row r="195" spans="1:7" x14ac:dyDescent="0.35">
      <c r="A195">
        <v>5213</v>
      </c>
      <c r="B195" t="str">
        <f>IF(F195=2020,INDEX(SOC2020_Structure!E:E,MATCH(sectorLookup!A195,SOC2020_Structure!D:D,0)),INDEX(SOC2010_Structure!E:E,MATCH(sectorLookup!A195,SOC2010_Structure!D:D,0)))</f>
        <v>Welding trades</v>
      </c>
      <c r="C195" t="s">
        <v>263</v>
      </c>
      <c r="D195" t="str">
        <f>INDEX('group info'!B:B,MATCH(sectorLookup!C195,'group info'!A:A,0))</f>
        <v>Green</v>
      </c>
      <c r="E195" t="s">
        <v>282</v>
      </c>
      <c r="F195">
        <v>2020</v>
      </c>
      <c r="G195" t="str">
        <f t="shared" ref="G195:G258" si="3">D195&amp;" SOC"&amp;F195</f>
        <v>Green SOC2020</v>
      </c>
    </row>
    <row r="196" spans="1:7" x14ac:dyDescent="0.35">
      <c r="A196">
        <v>5212</v>
      </c>
      <c r="B196" t="str">
        <f>IF(F196=2020,INDEX(SOC2020_Structure!E:E,MATCH(sectorLookup!A196,SOC2020_Structure!D:D,0)),INDEX(SOC2010_Structure!E:E,MATCH(sectorLookup!A196,SOC2010_Structure!D:D,0)))</f>
        <v>Metal plate workers, smiths, moulders and related occupations</v>
      </c>
      <c r="C196" t="s">
        <v>263</v>
      </c>
      <c r="D196" t="str">
        <f>INDEX('group info'!B:B,MATCH(sectorLookup!C196,'group info'!A:A,0))</f>
        <v>Green</v>
      </c>
      <c r="E196" t="s">
        <v>282</v>
      </c>
      <c r="F196">
        <v>2020</v>
      </c>
      <c r="G196" t="str">
        <f t="shared" si="3"/>
        <v>Green SOC2020</v>
      </c>
    </row>
    <row r="197" spans="1:7" x14ac:dyDescent="0.35">
      <c r="A197">
        <v>5211</v>
      </c>
      <c r="B197" t="str">
        <f>IF(F197=2020,INDEX(SOC2020_Structure!E:E,MATCH(sectorLookup!A197,SOC2020_Structure!D:D,0)),INDEX(SOC2010_Structure!E:E,MATCH(sectorLookup!A197,SOC2010_Structure!D:D,0)))</f>
        <v>Sheet metal workers</v>
      </c>
      <c r="C197" t="s">
        <v>263</v>
      </c>
      <c r="D197" t="str">
        <f>INDEX('group info'!B:B,MATCH(sectorLookup!C197,'group info'!A:A,0))</f>
        <v>Green</v>
      </c>
      <c r="E197" t="s">
        <v>282</v>
      </c>
      <c r="F197">
        <v>2020</v>
      </c>
      <c r="G197" t="str">
        <f t="shared" si="3"/>
        <v>Green SOC2020</v>
      </c>
    </row>
    <row r="198" spans="1:7" x14ac:dyDescent="0.35">
      <c r="A198">
        <v>4131</v>
      </c>
      <c r="B198" t="str">
        <f>IF(F198=2020,INDEX(SOC2020_Structure!E:E,MATCH(sectorLookup!A198,SOC2020_Structure!D:D,0)),INDEX(SOC2010_Structure!E:E,MATCH(sectorLookup!A198,SOC2010_Structure!D:D,0)))</f>
        <v>Records clerks and assistants</v>
      </c>
      <c r="C198" t="s">
        <v>263</v>
      </c>
      <c r="D198" t="str">
        <f>INDEX('group info'!B:B,MATCH(sectorLookup!C198,'group info'!A:A,0))</f>
        <v>Green</v>
      </c>
      <c r="E198" t="s">
        <v>282</v>
      </c>
      <c r="F198">
        <v>2020</v>
      </c>
      <c r="G198" t="str">
        <f t="shared" si="3"/>
        <v>Green SOC2020</v>
      </c>
    </row>
    <row r="199" spans="1:7" x14ac:dyDescent="0.35">
      <c r="A199">
        <v>3582</v>
      </c>
      <c r="B199" t="str">
        <f>IF(F199=2020,INDEX(SOC2020_Structure!E:E,MATCH(sectorLookup!A199,SOC2020_Structure!D:D,0)),INDEX(SOC2010_Structure!E:E,MATCH(sectorLookup!A199,SOC2010_Structure!D:D,0)))</f>
        <v>Health and safety managers and officers</v>
      </c>
      <c r="C199" t="s">
        <v>263</v>
      </c>
      <c r="D199" t="str">
        <f>INDEX('group info'!B:B,MATCH(sectorLookup!C199,'group info'!A:A,0))</f>
        <v>Green</v>
      </c>
      <c r="E199" t="s">
        <v>282</v>
      </c>
      <c r="F199">
        <v>2020</v>
      </c>
      <c r="G199" t="str">
        <f t="shared" si="3"/>
        <v>Green SOC2020</v>
      </c>
    </row>
    <row r="200" spans="1:7" x14ac:dyDescent="0.35">
      <c r="A200">
        <v>3574</v>
      </c>
      <c r="B200" t="str">
        <f>IF(F200=2020,INDEX(SOC2020_Structure!E:E,MATCH(sectorLookup!A200,SOC2020_Structure!D:D,0)),INDEX(SOC2010_Structure!E:E,MATCH(sectorLookup!A200,SOC2010_Structure!D:D,0)))</f>
        <v>Other vocational and industrial trainers</v>
      </c>
      <c r="C200" t="s">
        <v>263</v>
      </c>
      <c r="D200" t="str">
        <f>INDEX('group info'!B:B,MATCH(sectorLookup!C200,'group info'!A:A,0))</f>
        <v>Green</v>
      </c>
      <c r="E200" t="s">
        <v>282</v>
      </c>
      <c r="F200">
        <v>2020</v>
      </c>
      <c r="G200" t="str">
        <f t="shared" si="3"/>
        <v>Green SOC2020</v>
      </c>
    </row>
    <row r="201" spans="1:7" x14ac:dyDescent="0.35">
      <c r="A201">
        <v>3551</v>
      </c>
      <c r="B201" t="str">
        <f>IF(F201=2020,INDEX(SOC2020_Structure!E:E,MATCH(sectorLookup!A201,SOC2020_Structure!D:D,0)),INDEX(SOC2010_Structure!E:E,MATCH(sectorLookup!A201,SOC2010_Structure!D:D,0)))</f>
        <v>Buyers and procurement officers</v>
      </c>
      <c r="C201" t="s">
        <v>263</v>
      </c>
      <c r="D201" t="str">
        <f>INDEX('group info'!B:B,MATCH(sectorLookup!C201,'group info'!A:A,0))</f>
        <v>Green</v>
      </c>
      <c r="E201" t="s">
        <v>282</v>
      </c>
      <c r="F201">
        <v>2020</v>
      </c>
      <c r="G201" t="str">
        <f t="shared" si="3"/>
        <v>Green SOC2020</v>
      </c>
    </row>
    <row r="202" spans="1:7" x14ac:dyDescent="0.35">
      <c r="A202">
        <v>3544</v>
      </c>
      <c r="B202" t="str">
        <f>IF(F202=2020,INDEX(SOC2020_Structure!E:E,MATCH(sectorLookup!A202,SOC2020_Structure!D:D,0)),INDEX(SOC2010_Structure!E:E,MATCH(sectorLookup!A202,SOC2010_Structure!D:D,0)))</f>
        <v>Data analysts</v>
      </c>
      <c r="C202" t="s">
        <v>263</v>
      </c>
      <c r="D202" t="str">
        <f>INDEX('group info'!B:B,MATCH(sectorLookup!C202,'group info'!A:A,0))</f>
        <v>Green</v>
      </c>
      <c r="E202" t="s">
        <v>282</v>
      </c>
      <c r="F202">
        <v>2020</v>
      </c>
      <c r="G202" t="str">
        <f t="shared" si="3"/>
        <v>Green SOC2020</v>
      </c>
    </row>
    <row r="203" spans="1:7" x14ac:dyDescent="0.35">
      <c r="A203">
        <v>3541</v>
      </c>
      <c r="B203" t="str">
        <f>IF(F203=2020,INDEX(SOC2020_Structure!E:E,MATCH(sectorLookup!A203,SOC2020_Structure!D:D,0)),INDEX(SOC2010_Structure!E:E,MATCH(sectorLookup!A203,SOC2010_Structure!D:D,0)))</f>
        <v>Estimators, valuers and assessors</v>
      </c>
      <c r="C203" t="s">
        <v>263</v>
      </c>
      <c r="D203" t="str">
        <f>INDEX('group info'!B:B,MATCH(sectorLookup!C203,'group info'!A:A,0))</f>
        <v>Green</v>
      </c>
      <c r="E203" t="s">
        <v>282</v>
      </c>
      <c r="F203">
        <v>2020</v>
      </c>
      <c r="G203" t="str">
        <f t="shared" si="3"/>
        <v>Green SOC2020</v>
      </c>
    </row>
    <row r="204" spans="1:7" x14ac:dyDescent="0.35">
      <c r="A204">
        <v>3429</v>
      </c>
      <c r="B204" t="str">
        <f>IF(F204=2020,INDEX(SOC2020_Structure!E:E,MATCH(sectorLookup!A204,SOC2020_Structure!D:D,0)),INDEX(SOC2010_Structure!E:E,MATCH(sectorLookup!A204,SOC2010_Structure!D:D,0)))</f>
        <v>Design occupations n.e.c.</v>
      </c>
      <c r="C204" t="s">
        <v>263</v>
      </c>
      <c r="D204" t="str">
        <f>INDEX('group info'!B:B,MATCH(sectorLookup!C204,'group info'!A:A,0))</f>
        <v>Green</v>
      </c>
      <c r="E204" t="s">
        <v>282</v>
      </c>
      <c r="F204">
        <v>2020</v>
      </c>
      <c r="G204" t="str">
        <f t="shared" si="3"/>
        <v>Green SOC2020</v>
      </c>
    </row>
    <row r="205" spans="1:7" x14ac:dyDescent="0.35">
      <c r="A205">
        <v>3120</v>
      </c>
      <c r="B205" t="str">
        <f>IF(F205=2020,INDEX(SOC2020_Structure!E:E,MATCH(sectorLookup!A205,SOC2020_Structure!D:D,0)),INDEX(SOC2010_Structure!E:E,MATCH(sectorLookup!A205,SOC2010_Structure!D:D,0)))</f>
        <v>CAD, drawing and architectural technicians</v>
      </c>
      <c r="C205" t="s">
        <v>263</v>
      </c>
      <c r="D205" t="str">
        <f>INDEX('group info'!B:B,MATCH(sectorLookup!C205,'group info'!A:A,0))</f>
        <v>Green</v>
      </c>
      <c r="E205" t="s">
        <v>282</v>
      </c>
      <c r="F205">
        <v>2020</v>
      </c>
      <c r="G205" t="str">
        <f t="shared" si="3"/>
        <v>Green SOC2020</v>
      </c>
    </row>
    <row r="206" spans="1:7" x14ac:dyDescent="0.35">
      <c r="A206">
        <v>3119</v>
      </c>
      <c r="B206" t="str">
        <f>IF(F206=2020,INDEX(SOC2020_Structure!E:E,MATCH(sectorLookup!A206,SOC2020_Structure!D:D,0)),INDEX(SOC2010_Structure!E:E,MATCH(sectorLookup!A206,SOC2010_Structure!D:D,0)))</f>
        <v>Science, engineering and production technicians n.e.c.</v>
      </c>
      <c r="C206" t="s">
        <v>263</v>
      </c>
      <c r="D206" t="str">
        <f>INDEX('group info'!B:B,MATCH(sectorLookup!C206,'group info'!A:A,0))</f>
        <v>Green</v>
      </c>
      <c r="E206" t="s">
        <v>282</v>
      </c>
      <c r="F206">
        <v>2020</v>
      </c>
      <c r="G206" t="str">
        <f t="shared" si="3"/>
        <v>Green SOC2020</v>
      </c>
    </row>
    <row r="207" spans="1:7" x14ac:dyDescent="0.35">
      <c r="A207">
        <v>3113</v>
      </c>
      <c r="B207" t="str">
        <f>IF(F207=2020,INDEX(SOC2020_Structure!E:E,MATCH(sectorLookup!A207,SOC2020_Structure!D:D,0)),INDEX(SOC2010_Structure!E:E,MATCH(sectorLookup!A207,SOC2010_Structure!D:D,0)))</f>
        <v>Engineering technicians</v>
      </c>
      <c r="C207" t="s">
        <v>263</v>
      </c>
      <c r="D207" t="str">
        <f>INDEX('group info'!B:B,MATCH(sectorLookup!C207,'group info'!A:A,0))</f>
        <v>Green</v>
      </c>
      <c r="E207" t="s">
        <v>282</v>
      </c>
      <c r="F207">
        <v>2020</v>
      </c>
      <c r="G207" t="str">
        <f t="shared" si="3"/>
        <v>Green SOC2020</v>
      </c>
    </row>
    <row r="208" spans="1:7" x14ac:dyDescent="0.35">
      <c r="A208">
        <v>3112</v>
      </c>
      <c r="B208" t="str">
        <f>IF(F208=2020,INDEX(SOC2020_Structure!E:E,MATCH(sectorLookup!A208,SOC2020_Structure!D:D,0)),INDEX(SOC2010_Structure!E:E,MATCH(sectorLookup!A208,SOC2010_Structure!D:D,0)))</f>
        <v>Electrical and electronics technicians</v>
      </c>
      <c r="C208" t="s">
        <v>263</v>
      </c>
      <c r="D208" t="str">
        <f>INDEX('group info'!B:B,MATCH(sectorLookup!C208,'group info'!A:A,0))</f>
        <v>Green</v>
      </c>
      <c r="E208" t="s">
        <v>282</v>
      </c>
      <c r="F208">
        <v>2020</v>
      </c>
      <c r="G208" t="str">
        <f t="shared" si="3"/>
        <v>Green SOC2020</v>
      </c>
    </row>
    <row r="209" spans="1:7" x14ac:dyDescent="0.35">
      <c r="A209">
        <v>3111</v>
      </c>
      <c r="B209" t="str">
        <f>IF(F209=2020,INDEX(SOC2020_Structure!E:E,MATCH(sectorLookup!A209,SOC2020_Structure!D:D,0)),INDEX(SOC2010_Structure!E:E,MATCH(sectorLookup!A209,SOC2010_Structure!D:D,0)))</f>
        <v>Laboratory technicians</v>
      </c>
      <c r="C209" t="s">
        <v>263</v>
      </c>
      <c r="D209" t="str">
        <f>INDEX('group info'!B:B,MATCH(sectorLookup!C209,'group info'!A:A,0))</f>
        <v>Green</v>
      </c>
      <c r="E209" t="s">
        <v>282</v>
      </c>
      <c r="F209">
        <v>2020</v>
      </c>
      <c r="G209" t="str">
        <f t="shared" si="3"/>
        <v>Green SOC2020</v>
      </c>
    </row>
    <row r="210" spans="1:7" x14ac:dyDescent="0.35">
      <c r="A210">
        <v>2493</v>
      </c>
      <c r="B210" t="str">
        <f>IF(F210=2020,INDEX(SOC2020_Structure!E:E,MATCH(sectorLookup!A210,SOC2020_Structure!D:D,0)),INDEX(SOC2010_Structure!E:E,MATCH(sectorLookup!A210,SOC2010_Structure!D:D,0)))</f>
        <v>Public relations professionals</v>
      </c>
      <c r="C210" t="s">
        <v>263</v>
      </c>
      <c r="D210" t="str">
        <f>INDEX('group info'!B:B,MATCH(sectorLookup!C210,'group info'!A:A,0))</f>
        <v>Green</v>
      </c>
      <c r="E210" t="s">
        <v>282</v>
      </c>
      <c r="F210">
        <v>2020</v>
      </c>
      <c r="G210" t="str">
        <f t="shared" si="3"/>
        <v>Green SOC2020</v>
      </c>
    </row>
    <row r="211" spans="1:7" x14ac:dyDescent="0.35">
      <c r="A211">
        <v>2482</v>
      </c>
      <c r="B211" t="str">
        <f>IF(F211=2020,INDEX(SOC2020_Structure!E:E,MATCH(sectorLookup!A211,SOC2020_Structure!D:D,0)),INDEX(SOC2010_Structure!E:E,MATCH(sectorLookup!A211,SOC2010_Structure!D:D,0)))</f>
        <v>Quality assurance and regulatory professionals</v>
      </c>
      <c r="C211" t="s">
        <v>263</v>
      </c>
      <c r="D211" t="str">
        <f>INDEX('group info'!B:B,MATCH(sectorLookup!C211,'group info'!A:A,0))</f>
        <v>Green</v>
      </c>
      <c r="E211" t="s">
        <v>282</v>
      </c>
      <c r="F211">
        <v>2020</v>
      </c>
      <c r="G211" t="str">
        <f t="shared" si="3"/>
        <v>Green SOC2020</v>
      </c>
    </row>
    <row r="212" spans="1:7" x14ac:dyDescent="0.35">
      <c r="A212">
        <v>2455</v>
      </c>
      <c r="B212" t="str">
        <f>IF(F212=2020,INDEX(SOC2020_Structure!E:E,MATCH(sectorLookup!A212,SOC2020_Structure!D:D,0)),INDEX(SOC2010_Structure!E:E,MATCH(sectorLookup!A212,SOC2010_Structure!D:D,0)))</f>
        <v>Construction project managers and related professionals</v>
      </c>
      <c r="C212" t="s">
        <v>263</v>
      </c>
      <c r="D212" t="str">
        <f>INDEX('group info'!B:B,MATCH(sectorLookup!C212,'group info'!A:A,0))</f>
        <v>Green</v>
      </c>
      <c r="E212" t="s">
        <v>282</v>
      </c>
      <c r="F212">
        <v>2020</v>
      </c>
      <c r="G212" t="str">
        <f t="shared" si="3"/>
        <v>Green SOC2020</v>
      </c>
    </row>
    <row r="213" spans="1:7" x14ac:dyDescent="0.35">
      <c r="A213">
        <v>2452</v>
      </c>
      <c r="B213" t="str">
        <f>IF(F213=2020,INDEX(SOC2020_Structure!E:E,MATCH(sectorLookup!A213,SOC2020_Structure!D:D,0)),INDEX(SOC2010_Structure!E:E,MATCH(sectorLookup!A213,SOC2010_Structure!D:D,0)))</f>
        <v>Chartered architectural technologists, planning officers and consultants</v>
      </c>
      <c r="C213" t="s">
        <v>263</v>
      </c>
      <c r="D213" t="str">
        <f>INDEX('group info'!B:B,MATCH(sectorLookup!C213,'group info'!A:A,0))</f>
        <v>Green</v>
      </c>
      <c r="E213" t="s">
        <v>282</v>
      </c>
      <c r="F213">
        <v>2020</v>
      </c>
      <c r="G213" t="str">
        <f t="shared" si="3"/>
        <v>Green SOC2020</v>
      </c>
    </row>
    <row r="214" spans="1:7" x14ac:dyDescent="0.35">
      <c r="A214">
        <v>2440</v>
      </c>
      <c r="B214" t="str">
        <f>IF(F214=2020,INDEX(SOC2020_Structure!E:E,MATCH(sectorLookup!A214,SOC2020_Structure!D:D,0)),INDEX(SOC2010_Structure!E:E,MATCH(sectorLookup!A214,SOC2010_Structure!D:D,0)))</f>
        <v>Business and financial project management professionals</v>
      </c>
      <c r="C214" t="s">
        <v>263</v>
      </c>
      <c r="D214" t="str">
        <f>INDEX('group info'!B:B,MATCH(sectorLookup!C214,'group info'!A:A,0))</f>
        <v>Green</v>
      </c>
      <c r="E214" t="s">
        <v>282</v>
      </c>
      <c r="F214">
        <v>2020</v>
      </c>
      <c r="G214" t="str">
        <f t="shared" si="3"/>
        <v>Green SOC2020</v>
      </c>
    </row>
    <row r="215" spans="1:7" x14ac:dyDescent="0.35">
      <c r="A215">
        <v>2439</v>
      </c>
      <c r="B215" t="str">
        <f>IF(F215=2020,INDEX(SOC2020_Structure!E:E,MATCH(sectorLookup!A215,SOC2020_Structure!D:D,0)),INDEX(SOC2010_Structure!E:E,MATCH(sectorLookup!A215,SOC2010_Structure!D:D,0)))</f>
        <v>Business, research and administrative professionals n.e.c.</v>
      </c>
      <c r="C215" t="s">
        <v>263</v>
      </c>
      <c r="D215" t="str">
        <f>INDEX('group info'!B:B,MATCH(sectorLookup!C215,'group info'!A:A,0))</f>
        <v>Green</v>
      </c>
      <c r="E215" t="s">
        <v>282</v>
      </c>
      <c r="F215">
        <v>2020</v>
      </c>
      <c r="G215" t="str">
        <f t="shared" si="3"/>
        <v>Green SOC2020</v>
      </c>
    </row>
    <row r="216" spans="1:7" x14ac:dyDescent="0.35">
      <c r="A216">
        <v>2432</v>
      </c>
      <c r="B216" t="str">
        <f>IF(F216=2020,INDEX(SOC2020_Structure!E:E,MATCH(sectorLookup!A216,SOC2020_Structure!D:D,0)),INDEX(SOC2010_Structure!E:E,MATCH(sectorLookup!A216,SOC2010_Structure!D:D,0)))</f>
        <v>Marketing and commercial managers</v>
      </c>
      <c r="C216" t="s">
        <v>263</v>
      </c>
      <c r="D216" t="str">
        <f>INDEX('group info'!B:B,MATCH(sectorLookup!C216,'group info'!A:A,0))</f>
        <v>Green</v>
      </c>
      <c r="E216" t="s">
        <v>282</v>
      </c>
      <c r="F216">
        <v>2020</v>
      </c>
      <c r="G216" t="str">
        <f t="shared" si="3"/>
        <v>Green SOC2020</v>
      </c>
    </row>
    <row r="217" spans="1:7" x14ac:dyDescent="0.35">
      <c r="A217">
        <v>2419</v>
      </c>
      <c r="B217" t="str">
        <f>IF(F217=2020,INDEX(SOC2020_Structure!E:E,MATCH(sectorLookup!A217,SOC2020_Structure!D:D,0)),INDEX(SOC2010_Structure!E:E,MATCH(sectorLookup!A217,SOC2010_Structure!D:D,0)))</f>
        <v>Legal professionals n.e.c.</v>
      </c>
      <c r="C217" t="s">
        <v>263</v>
      </c>
      <c r="D217" t="str">
        <f>INDEX('group info'!B:B,MATCH(sectorLookup!C217,'group info'!A:A,0))</f>
        <v>Green</v>
      </c>
      <c r="E217" t="s">
        <v>282</v>
      </c>
      <c r="F217">
        <v>2020</v>
      </c>
      <c r="G217" t="str">
        <f t="shared" si="3"/>
        <v>Green SOC2020</v>
      </c>
    </row>
    <row r="218" spans="1:7" x14ac:dyDescent="0.35">
      <c r="A218">
        <v>2152</v>
      </c>
      <c r="B218" t="str">
        <f>IF(F218=2020,INDEX(SOC2020_Structure!E:E,MATCH(sectorLookup!A218,SOC2020_Structure!D:D,0)),INDEX(SOC2010_Structure!E:E,MATCH(sectorLookup!A218,SOC2010_Structure!D:D,0)))</f>
        <v>Environment professionals</v>
      </c>
      <c r="C218" t="s">
        <v>263</v>
      </c>
      <c r="D218" t="str">
        <f>INDEX('group info'!B:B,MATCH(sectorLookup!C218,'group info'!A:A,0))</f>
        <v>Green</v>
      </c>
      <c r="E218" t="s">
        <v>282</v>
      </c>
      <c r="F218">
        <v>2020</v>
      </c>
      <c r="G218" t="str">
        <f t="shared" si="3"/>
        <v>Green SOC2020</v>
      </c>
    </row>
    <row r="219" spans="1:7" x14ac:dyDescent="0.35">
      <c r="A219">
        <v>2132</v>
      </c>
      <c r="B219" t="str">
        <f>IF(F219=2020,INDEX(SOC2020_Structure!E:E,MATCH(sectorLookup!A219,SOC2020_Structure!D:D,0)),INDEX(SOC2010_Structure!E:E,MATCH(sectorLookup!A219,SOC2010_Structure!D:D,0)))</f>
        <v>IT managers</v>
      </c>
      <c r="C219" t="s">
        <v>263</v>
      </c>
      <c r="D219" t="str">
        <f>INDEX('group info'!B:B,MATCH(sectorLookup!C219,'group info'!A:A,0))</f>
        <v>Green</v>
      </c>
      <c r="E219" t="s">
        <v>282</v>
      </c>
      <c r="F219">
        <v>2020</v>
      </c>
      <c r="G219" t="str">
        <f t="shared" si="3"/>
        <v>Green SOC2020</v>
      </c>
    </row>
    <row r="220" spans="1:7" x14ac:dyDescent="0.35">
      <c r="A220">
        <v>2129</v>
      </c>
      <c r="B220" t="str">
        <f>IF(F220=2020,INDEX(SOC2020_Structure!E:E,MATCH(sectorLookup!A220,SOC2020_Structure!D:D,0)),INDEX(SOC2010_Structure!E:E,MATCH(sectorLookup!A220,SOC2010_Structure!D:D,0)))</f>
        <v>Engineering professionals n.e.c.</v>
      </c>
      <c r="C220" t="s">
        <v>263</v>
      </c>
      <c r="D220" t="str">
        <f>INDEX('group info'!B:B,MATCH(sectorLookup!C220,'group info'!A:A,0))</f>
        <v>Green</v>
      </c>
      <c r="E220" t="s">
        <v>282</v>
      </c>
      <c r="F220">
        <v>2020</v>
      </c>
      <c r="G220" t="str">
        <f t="shared" si="3"/>
        <v>Green SOC2020</v>
      </c>
    </row>
    <row r="221" spans="1:7" x14ac:dyDescent="0.35">
      <c r="A221">
        <v>2127</v>
      </c>
      <c r="B221" t="str">
        <f>IF(F221=2020,INDEX(SOC2020_Structure!E:E,MATCH(sectorLookup!A221,SOC2020_Structure!D:D,0)),INDEX(SOC2010_Structure!E:E,MATCH(sectorLookup!A221,SOC2010_Structure!D:D,0)))</f>
        <v>Engineering project managers and project engineers</v>
      </c>
      <c r="C221" t="s">
        <v>263</v>
      </c>
      <c r="D221" t="str">
        <f>INDEX('group info'!B:B,MATCH(sectorLookup!C221,'group info'!A:A,0))</f>
        <v>Green</v>
      </c>
      <c r="E221" t="s">
        <v>282</v>
      </c>
      <c r="F221">
        <v>2020</v>
      </c>
      <c r="G221" t="str">
        <f t="shared" si="3"/>
        <v>Green SOC2020</v>
      </c>
    </row>
    <row r="222" spans="1:7" x14ac:dyDescent="0.35">
      <c r="A222">
        <v>2125</v>
      </c>
      <c r="B222" t="str">
        <f>IF(F222=2020,INDEX(SOC2020_Structure!E:E,MATCH(sectorLookup!A222,SOC2020_Structure!D:D,0)),INDEX(SOC2010_Structure!E:E,MATCH(sectorLookup!A222,SOC2010_Structure!D:D,0)))</f>
        <v>Production and process engineers</v>
      </c>
      <c r="C222" t="s">
        <v>263</v>
      </c>
      <c r="D222" t="str">
        <f>INDEX('group info'!B:B,MATCH(sectorLookup!C222,'group info'!A:A,0))</f>
        <v>Green</v>
      </c>
      <c r="E222" t="s">
        <v>282</v>
      </c>
      <c r="F222">
        <v>2020</v>
      </c>
      <c r="G222" t="str">
        <f t="shared" si="3"/>
        <v>Green SOC2020</v>
      </c>
    </row>
    <row r="223" spans="1:7" x14ac:dyDescent="0.35">
      <c r="A223">
        <v>2123</v>
      </c>
      <c r="B223" t="str">
        <f>IF(F223=2020,INDEX(SOC2020_Structure!E:E,MATCH(sectorLookup!A223,SOC2020_Structure!D:D,0)),INDEX(SOC2010_Structure!E:E,MATCH(sectorLookup!A223,SOC2010_Structure!D:D,0)))</f>
        <v>Electrical engineers</v>
      </c>
      <c r="C223" t="s">
        <v>263</v>
      </c>
      <c r="D223" t="str">
        <f>INDEX('group info'!B:B,MATCH(sectorLookup!C223,'group info'!A:A,0))</f>
        <v>Green</v>
      </c>
      <c r="E223" t="s">
        <v>282</v>
      </c>
      <c r="F223">
        <v>2020</v>
      </c>
      <c r="G223" t="str">
        <f t="shared" si="3"/>
        <v>Green SOC2020</v>
      </c>
    </row>
    <row r="224" spans="1:7" x14ac:dyDescent="0.35">
      <c r="A224">
        <v>2122</v>
      </c>
      <c r="B224" t="str">
        <f>IF(F224=2020,INDEX(SOC2020_Structure!E:E,MATCH(sectorLookup!A224,SOC2020_Structure!D:D,0)),INDEX(SOC2010_Structure!E:E,MATCH(sectorLookup!A224,SOC2010_Structure!D:D,0)))</f>
        <v>Mechanical engineers</v>
      </c>
      <c r="C224" t="s">
        <v>263</v>
      </c>
      <c r="D224" t="str">
        <f>INDEX('group info'!B:B,MATCH(sectorLookup!C224,'group info'!A:A,0))</f>
        <v>Green</v>
      </c>
      <c r="E224" t="s">
        <v>282</v>
      </c>
      <c r="F224">
        <v>2020</v>
      </c>
      <c r="G224" t="str">
        <f t="shared" si="3"/>
        <v>Green SOC2020</v>
      </c>
    </row>
    <row r="225" spans="1:7" x14ac:dyDescent="0.35">
      <c r="A225">
        <v>2121</v>
      </c>
      <c r="B225" t="str">
        <f>IF(F225=2020,INDEX(SOC2020_Structure!E:E,MATCH(sectorLookup!A225,SOC2020_Structure!D:D,0)),INDEX(SOC2010_Structure!E:E,MATCH(sectorLookup!A225,SOC2010_Structure!D:D,0)))</f>
        <v>Civil engineers</v>
      </c>
      <c r="C225" t="s">
        <v>263</v>
      </c>
      <c r="D225" t="str">
        <f>INDEX('group info'!B:B,MATCH(sectorLookup!C225,'group info'!A:A,0))</f>
        <v>Green</v>
      </c>
      <c r="E225" t="s">
        <v>282</v>
      </c>
      <c r="F225">
        <v>2020</v>
      </c>
      <c r="G225" t="str">
        <f t="shared" si="3"/>
        <v>Green SOC2020</v>
      </c>
    </row>
    <row r="226" spans="1:7" x14ac:dyDescent="0.35">
      <c r="A226">
        <v>2114</v>
      </c>
      <c r="B226" t="str">
        <f>IF(F226=2020,INDEX(SOC2020_Structure!E:E,MATCH(sectorLookup!A226,SOC2020_Structure!D:D,0)),INDEX(SOC2010_Structure!E:E,MATCH(sectorLookup!A226,SOC2010_Structure!D:D,0)))</f>
        <v>Physical scientists</v>
      </c>
      <c r="C226" t="s">
        <v>263</v>
      </c>
      <c r="D226" t="str">
        <f>INDEX('group info'!B:B,MATCH(sectorLookup!C226,'group info'!A:A,0))</f>
        <v>Green</v>
      </c>
      <c r="E226" t="s">
        <v>282</v>
      </c>
      <c r="F226">
        <v>2020</v>
      </c>
      <c r="G226" t="str">
        <f t="shared" si="3"/>
        <v>Green SOC2020</v>
      </c>
    </row>
    <row r="227" spans="1:7" x14ac:dyDescent="0.35">
      <c r="A227">
        <v>1254</v>
      </c>
      <c r="B227" t="str">
        <f>IF(F227=2020,INDEX(SOC2020_Structure!E:E,MATCH(sectorLookup!A227,SOC2020_Structure!D:D,0)),INDEX(SOC2010_Structure!E:E,MATCH(sectorLookup!A227,SOC2010_Structure!D:D,0)))</f>
        <v>Waste disposal and environmental services managers</v>
      </c>
      <c r="C227" t="s">
        <v>263</v>
      </c>
      <c r="D227" t="str">
        <f>INDEX('group info'!B:B,MATCH(sectorLookup!C227,'group info'!A:A,0))</f>
        <v>Green</v>
      </c>
      <c r="E227" t="s">
        <v>282</v>
      </c>
      <c r="F227">
        <v>2020</v>
      </c>
      <c r="G227" t="str">
        <f t="shared" si="3"/>
        <v>Green SOC2020</v>
      </c>
    </row>
    <row r="228" spans="1:7" x14ac:dyDescent="0.35">
      <c r="A228">
        <v>1251</v>
      </c>
      <c r="B228" t="str">
        <f>IF(F228=2020,INDEX(SOC2020_Structure!E:E,MATCH(sectorLookup!A228,SOC2020_Structure!D:D,0)),INDEX(SOC2010_Structure!E:E,MATCH(sectorLookup!A228,SOC2010_Structure!D:D,0)))</f>
        <v>Property, housing and estate managers</v>
      </c>
      <c r="C228" t="s">
        <v>263</v>
      </c>
      <c r="D228" t="str">
        <f>INDEX('group info'!B:B,MATCH(sectorLookup!C228,'group info'!A:A,0))</f>
        <v>Green</v>
      </c>
      <c r="E228" t="s">
        <v>282</v>
      </c>
      <c r="F228">
        <v>2020</v>
      </c>
      <c r="G228" t="str">
        <f t="shared" si="3"/>
        <v>Green SOC2020</v>
      </c>
    </row>
    <row r="229" spans="1:7" x14ac:dyDescent="0.35">
      <c r="A229">
        <v>1243</v>
      </c>
      <c r="B229" t="str">
        <f>IF(F229=2020,INDEX(SOC2020_Structure!E:E,MATCH(sectorLookup!A229,SOC2020_Structure!D:D,0)),INDEX(SOC2010_Structure!E:E,MATCH(sectorLookup!A229,SOC2010_Structure!D:D,0)))</f>
        <v>Managers in logistics</v>
      </c>
      <c r="C229" t="s">
        <v>263</v>
      </c>
      <c r="D229" t="str">
        <f>INDEX('group info'!B:B,MATCH(sectorLookup!C229,'group info'!A:A,0))</f>
        <v>Green</v>
      </c>
      <c r="E229" t="s">
        <v>282</v>
      </c>
      <c r="F229">
        <v>2020</v>
      </c>
      <c r="G229" t="str">
        <f t="shared" si="3"/>
        <v>Green SOC2020</v>
      </c>
    </row>
    <row r="230" spans="1:7" x14ac:dyDescent="0.35">
      <c r="A230">
        <v>1242</v>
      </c>
      <c r="B230" t="str">
        <f>IF(F230=2020,INDEX(SOC2020_Structure!E:E,MATCH(sectorLookup!A230,SOC2020_Structure!D:D,0)),INDEX(SOC2010_Structure!E:E,MATCH(sectorLookup!A230,SOC2010_Structure!D:D,0)))</f>
        <v>Managers in storage and warehousing</v>
      </c>
      <c r="C230" t="s">
        <v>263</v>
      </c>
      <c r="D230" t="str">
        <f>INDEX('group info'!B:B,MATCH(sectorLookup!C230,'group info'!A:A,0))</f>
        <v>Green</v>
      </c>
      <c r="E230" t="s">
        <v>282</v>
      </c>
      <c r="F230">
        <v>2020</v>
      </c>
      <c r="G230" t="str">
        <f t="shared" si="3"/>
        <v>Green SOC2020</v>
      </c>
    </row>
    <row r="231" spans="1:7" x14ac:dyDescent="0.35">
      <c r="A231">
        <v>1133</v>
      </c>
      <c r="B231" t="str">
        <f>IF(F231=2020,INDEX(SOC2020_Structure!E:E,MATCH(sectorLookup!A231,SOC2020_Structure!D:D,0)),INDEX(SOC2010_Structure!E:E,MATCH(sectorLookup!A231,SOC2010_Structure!D:D,0)))</f>
        <v>Public relations and communications directors</v>
      </c>
      <c r="C231" t="s">
        <v>263</v>
      </c>
      <c r="D231" t="str">
        <f>INDEX('group info'!B:B,MATCH(sectorLookup!C231,'group info'!A:A,0))</f>
        <v>Green</v>
      </c>
      <c r="E231" t="s">
        <v>282</v>
      </c>
      <c r="F231">
        <v>2020</v>
      </c>
      <c r="G231" t="str">
        <f t="shared" si="3"/>
        <v>Green SOC2020</v>
      </c>
    </row>
    <row r="232" spans="1:7" x14ac:dyDescent="0.35">
      <c r="A232">
        <v>1131</v>
      </c>
      <c r="B232" t="str">
        <f>IF(F232=2020,INDEX(SOC2020_Structure!E:E,MATCH(sectorLookup!A232,SOC2020_Structure!D:D,0)),INDEX(SOC2010_Structure!E:E,MATCH(sectorLookup!A232,SOC2010_Structure!D:D,0)))</f>
        <v>Financial managers and directors</v>
      </c>
      <c r="C232" t="s">
        <v>263</v>
      </c>
      <c r="D232" t="str">
        <f>INDEX('group info'!B:B,MATCH(sectorLookup!C232,'group info'!A:A,0))</f>
        <v>Green</v>
      </c>
      <c r="E232" t="s">
        <v>282</v>
      </c>
      <c r="F232">
        <v>2020</v>
      </c>
      <c r="G232" t="str">
        <f t="shared" si="3"/>
        <v>Green SOC2020</v>
      </c>
    </row>
    <row r="233" spans="1:7" x14ac:dyDescent="0.35">
      <c r="A233">
        <v>1123</v>
      </c>
      <c r="B233" t="str">
        <f>IF(F233=2020,INDEX(SOC2020_Structure!E:E,MATCH(sectorLookup!A233,SOC2020_Structure!D:D,0)),INDEX(SOC2010_Structure!E:E,MATCH(sectorLookup!A233,SOC2010_Structure!D:D,0)))</f>
        <v>Production managers and directors in mining and energy</v>
      </c>
      <c r="C233" t="s">
        <v>263</v>
      </c>
      <c r="D233" t="str">
        <f>INDEX('group info'!B:B,MATCH(sectorLookup!C233,'group info'!A:A,0))</f>
        <v>Green</v>
      </c>
      <c r="E233" t="s">
        <v>282</v>
      </c>
      <c r="F233">
        <v>2020</v>
      </c>
      <c r="G233" t="str">
        <f t="shared" si="3"/>
        <v>Green SOC2020</v>
      </c>
    </row>
    <row r="234" spans="1:7" x14ac:dyDescent="0.35">
      <c r="A234">
        <v>1121</v>
      </c>
      <c r="B234" t="str">
        <f>IF(F234=2020,INDEX(SOC2020_Structure!E:E,MATCH(sectorLookup!A234,SOC2020_Structure!D:D,0)),INDEX(SOC2010_Structure!E:E,MATCH(sectorLookup!A234,SOC2010_Structure!D:D,0)))</f>
        <v>Production managers and directors in manufacturing</v>
      </c>
      <c r="C234" t="s">
        <v>263</v>
      </c>
      <c r="D234" t="str">
        <f>INDEX('group info'!B:B,MATCH(sectorLookup!C234,'group info'!A:A,0))</f>
        <v>Green</v>
      </c>
      <c r="E234" t="s">
        <v>282</v>
      </c>
      <c r="F234">
        <v>2020</v>
      </c>
      <c r="G234" t="str">
        <f t="shared" si="3"/>
        <v>Green SOC2020</v>
      </c>
    </row>
    <row r="235" spans="1:7" x14ac:dyDescent="0.35">
      <c r="A235">
        <v>8152</v>
      </c>
      <c r="B235" t="str">
        <f>IF(F235=2020,INDEX(SOC2020_Structure!E:E,MATCH(sectorLookup!A235,SOC2020_Structure!D:D,0)),INDEX(SOC2010_Structure!E:E,MATCH(sectorLookup!A235,SOC2010_Structure!D:D,0)))</f>
        <v>Road construction operatives</v>
      </c>
      <c r="C235" t="s">
        <v>263</v>
      </c>
      <c r="D235" t="str">
        <f>INDEX('group info'!B:B,MATCH(sectorLookup!C235,'group info'!A:A,0))</f>
        <v>Green</v>
      </c>
      <c r="E235" t="s">
        <v>282</v>
      </c>
      <c r="F235">
        <v>2020</v>
      </c>
      <c r="G235" t="str">
        <f t="shared" si="3"/>
        <v>Green SOC2020</v>
      </c>
    </row>
    <row r="236" spans="1:7" x14ac:dyDescent="0.35">
      <c r="A236">
        <v>8143</v>
      </c>
      <c r="B236" t="str">
        <f>IF(F236=2020,INDEX(SOC2020_Structure!E:E,MATCH(sectorLookup!A236,SOC2020_Structure!D:D,0)),INDEX(SOC2010_Structure!E:E,MATCH(sectorLookup!A236,SOC2010_Structure!D:D,0)))</f>
        <v>Routine inspectors and testers</v>
      </c>
      <c r="C236" t="s">
        <v>263</v>
      </c>
      <c r="D236" t="str">
        <f>INDEX('group info'!B:B,MATCH(sectorLookup!C236,'group info'!A:A,0))</f>
        <v>Green</v>
      </c>
      <c r="E236" t="s">
        <v>282</v>
      </c>
      <c r="F236">
        <v>2020</v>
      </c>
      <c r="G236" t="str">
        <f t="shared" si="3"/>
        <v>Green SOC2020</v>
      </c>
    </row>
    <row r="237" spans="1:7" x14ac:dyDescent="0.35">
      <c r="A237">
        <v>7220</v>
      </c>
      <c r="B237" t="str">
        <f>IF(F237=2020,INDEX(SOC2020_Structure!E:E,MATCH(sectorLookup!A237,SOC2020_Structure!D:D,0)),INDEX(SOC2010_Structure!E:E,MATCH(sectorLookup!A237,SOC2010_Structure!D:D,0)))</f>
        <v>Customer service supervisors</v>
      </c>
      <c r="C237" t="s">
        <v>263</v>
      </c>
      <c r="D237" t="str">
        <f>INDEX('group info'!B:B,MATCH(sectorLookup!C237,'group info'!A:A,0))</f>
        <v>Green</v>
      </c>
      <c r="E237" t="s">
        <v>282</v>
      </c>
      <c r="F237">
        <v>2020</v>
      </c>
      <c r="G237" t="str">
        <f t="shared" si="3"/>
        <v>Green SOC2020</v>
      </c>
    </row>
    <row r="238" spans="1:7" x14ac:dyDescent="0.35">
      <c r="A238">
        <v>5249</v>
      </c>
      <c r="B238" t="str">
        <f>IF(F238=2020,INDEX(SOC2020_Structure!E:E,MATCH(sectorLookup!A238,SOC2020_Structure!D:D,0)),INDEX(SOC2010_Structure!E:E,MATCH(sectorLookup!A238,SOC2010_Structure!D:D,0)))</f>
        <v>Electrical and electronic trades n.e.c.</v>
      </c>
      <c r="C238" t="s">
        <v>263</v>
      </c>
      <c r="D238" t="str">
        <f>INDEX('group info'!B:B,MATCH(sectorLookup!C238,'group info'!A:A,0))</f>
        <v>Green</v>
      </c>
      <c r="E238" t="s">
        <v>282</v>
      </c>
      <c r="F238">
        <v>2020</v>
      </c>
      <c r="G238" t="str">
        <f t="shared" si="3"/>
        <v>Green SOC2020</v>
      </c>
    </row>
    <row r="239" spans="1:7" x14ac:dyDescent="0.35">
      <c r="A239">
        <v>5246</v>
      </c>
      <c r="B239" t="str">
        <f>IF(F239=2020,INDEX(SOC2020_Structure!E:E,MATCH(sectorLookup!A239,SOC2020_Structure!D:D,0)),INDEX(SOC2010_Structure!E:E,MATCH(sectorLookup!A239,SOC2010_Structure!D:D,0)))</f>
        <v>Electrical service and maintenance mechanics and repairers</v>
      </c>
      <c r="C239" t="s">
        <v>263</v>
      </c>
      <c r="D239" t="str">
        <f>INDEX('group info'!B:B,MATCH(sectorLookup!C239,'group info'!A:A,0))</f>
        <v>Green</v>
      </c>
      <c r="E239" t="s">
        <v>282</v>
      </c>
      <c r="F239">
        <v>2020</v>
      </c>
      <c r="G239" t="str">
        <f t="shared" si="3"/>
        <v>Green SOC2020</v>
      </c>
    </row>
    <row r="240" spans="1:7" x14ac:dyDescent="0.35">
      <c r="A240">
        <v>5241</v>
      </c>
      <c r="B240" t="str">
        <f>IF(F240=2020,INDEX(SOC2020_Structure!E:E,MATCH(sectorLookup!A240,SOC2020_Structure!D:D,0)),INDEX(SOC2010_Structure!E:E,MATCH(sectorLookup!A240,SOC2010_Structure!D:D,0)))</f>
        <v>Electricians and electrical fitters</v>
      </c>
      <c r="C240" t="s">
        <v>263</v>
      </c>
      <c r="D240" t="str">
        <f>INDEX('group info'!B:B,MATCH(sectorLookup!C240,'group info'!A:A,0))</f>
        <v>Green</v>
      </c>
      <c r="E240" t="s">
        <v>282</v>
      </c>
      <c r="F240">
        <v>2020</v>
      </c>
      <c r="G240" t="str">
        <f t="shared" si="3"/>
        <v>Green SOC2020</v>
      </c>
    </row>
    <row r="241" spans="1:7" x14ac:dyDescent="0.35">
      <c r="A241">
        <v>4133</v>
      </c>
      <c r="B241" t="str">
        <f>IF(F241=2020,INDEX(SOC2020_Structure!E:E,MATCH(sectorLookup!A241,SOC2020_Structure!D:D,0)),INDEX(SOC2010_Structure!E:E,MATCH(sectorLookup!A241,SOC2010_Structure!D:D,0)))</f>
        <v>Stock control clerks and assistants</v>
      </c>
      <c r="C241" t="s">
        <v>263</v>
      </c>
      <c r="D241" t="str">
        <f>INDEX('group info'!B:B,MATCH(sectorLookup!C241,'group info'!A:A,0))</f>
        <v>Green</v>
      </c>
      <c r="E241" t="s">
        <v>282</v>
      </c>
      <c r="F241">
        <v>2020</v>
      </c>
      <c r="G241" t="str">
        <f t="shared" si="3"/>
        <v>Green SOC2020</v>
      </c>
    </row>
    <row r="242" spans="1:7" x14ac:dyDescent="0.35">
      <c r="A242">
        <v>3549</v>
      </c>
      <c r="B242" t="str">
        <f>IF(F242=2020,INDEX(SOC2020_Structure!E:E,MATCH(sectorLookup!A242,SOC2020_Structure!D:D,0)),INDEX(SOC2010_Structure!E:E,MATCH(sectorLookup!A242,SOC2010_Structure!D:D,0)))</f>
        <v>Business associate professionals n.e.c.</v>
      </c>
      <c r="C242" t="s">
        <v>263</v>
      </c>
      <c r="D242" t="str">
        <f>INDEX('group info'!B:B,MATCH(sectorLookup!C242,'group info'!A:A,0))</f>
        <v>Green</v>
      </c>
      <c r="E242" t="s">
        <v>282</v>
      </c>
      <c r="F242">
        <v>2020</v>
      </c>
      <c r="G242" t="str">
        <f t="shared" si="3"/>
        <v>Green SOC2020</v>
      </c>
    </row>
    <row r="243" spans="1:7" x14ac:dyDescent="0.35">
      <c r="A243">
        <v>3115</v>
      </c>
      <c r="B243" t="str">
        <f>IF(F243=2020,INDEX(SOC2020_Structure!E:E,MATCH(sectorLookup!A243,SOC2020_Structure!D:D,0)),INDEX(SOC2010_Structure!E:E,MATCH(sectorLookup!A243,SOC2010_Structure!D:D,0)))</f>
        <v>Quality assurance technicians</v>
      </c>
      <c r="C243" t="s">
        <v>263</v>
      </c>
      <c r="D243" t="str">
        <f>INDEX('group info'!B:B,MATCH(sectorLookup!C243,'group info'!A:A,0))</f>
        <v>Green</v>
      </c>
      <c r="E243" t="s">
        <v>282</v>
      </c>
      <c r="F243">
        <v>2020</v>
      </c>
      <c r="G243" t="str">
        <f t="shared" si="3"/>
        <v>Green SOC2020</v>
      </c>
    </row>
    <row r="244" spans="1:7" x14ac:dyDescent="0.35">
      <c r="A244">
        <v>2481</v>
      </c>
      <c r="B244" t="str">
        <f>IF(F244=2020,INDEX(SOC2020_Structure!E:E,MATCH(sectorLookup!A244,SOC2020_Structure!D:D,0)),INDEX(SOC2010_Structure!E:E,MATCH(sectorLookup!A244,SOC2010_Structure!D:D,0)))</f>
        <v>Quality control and planning engineers</v>
      </c>
      <c r="C244" t="s">
        <v>263</v>
      </c>
      <c r="D244" t="str">
        <f>INDEX('group info'!B:B,MATCH(sectorLookup!C244,'group info'!A:A,0))</f>
        <v>Green</v>
      </c>
      <c r="E244" t="s">
        <v>282</v>
      </c>
      <c r="F244">
        <v>2020</v>
      </c>
      <c r="G244" t="str">
        <f t="shared" si="3"/>
        <v>Green SOC2020</v>
      </c>
    </row>
    <row r="245" spans="1:7" x14ac:dyDescent="0.35">
      <c r="A245">
        <v>2162</v>
      </c>
      <c r="B245" t="str">
        <f>IF(F245=2020,INDEX(SOC2020_Structure!E:E,MATCH(sectorLookup!A245,SOC2020_Structure!D:D,0)),INDEX(SOC2010_Structure!E:E,MATCH(sectorLookup!A245,SOC2010_Structure!D:D,0)))</f>
        <v>Other researchers, unspecified discipline</v>
      </c>
      <c r="C245" t="s">
        <v>263</v>
      </c>
      <c r="D245" t="str">
        <f>INDEX('group info'!B:B,MATCH(sectorLookup!C245,'group info'!A:A,0))</f>
        <v>Green</v>
      </c>
      <c r="E245" t="s">
        <v>282</v>
      </c>
      <c r="F245">
        <v>2020</v>
      </c>
      <c r="G245" t="str">
        <f t="shared" si="3"/>
        <v>Green SOC2020</v>
      </c>
    </row>
    <row r="246" spans="1:7" x14ac:dyDescent="0.35">
      <c r="A246">
        <v>2161</v>
      </c>
      <c r="B246" t="str">
        <f>IF(F246=2020,INDEX(SOC2020_Structure!E:E,MATCH(sectorLookup!A246,SOC2020_Structure!D:D,0)),INDEX(SOC2010_Structure!E:E,MATCH(sectorLookup!A246,SOC2010_Structure!D:D,0)))</f>
        <v>Research and development (R&amp;D) managers</v>
      </c>
      <c r="C246" t="s">
        <v>263</v>
      </c>
      <c r="D246" t="str">
        <f>INDEX('group info'!B:B,MATCH(sectorLookup!C246,'group info'!A:A,0))</f>
        <v>Green</v>
      </c>
      <c r="E246" t="s">
        <v>282</v>
      </c>
      <c r="F246">
        <v>2020</v>
      </c>
      <c r="G246" t="str">
        <f t="shared" si="3"/>
        <v>Green SOC2020</v>
      </c>
    </row>
    <row r="247" spans="1:7" x14ac:dyDescent="0.35">
      <c r="A247">
        <v>2124</v>
      </c>
      <c r="B247" t="str">
        <f>IF(F247=2020,INDEX(SOC2020_Structure!E:E,MATCH(sectorLookup!A247,SOC2020_Structure!D:D,0)),INDEX(SOC2010_Structure!E:E,MATCH(sectorLookup!A247,SOC2010_Structure!D:D,0)))</f>
        <v>Electronics engineers</v>
      </c>
      <c r="C247" t="s">
        <v>263</v>
      </c>
      <c r="D247" t="str">
        <f>INDEX('group info'!B:B,MATCH(sectorLookup!C247,'group info'!A:A,0))</f>
        <v>Green</v>
      </c>
      <c r="E247" t="s">
        <v>282</v>
      </c>
      <c r="F247">
        <v>2020</v>
      </c>
      <c r="G247" t="str">
        <f t="shared" si="3"/>
        <v>Green SOC2020</v>
      </c>
    </row>
    <row r="248" spans="1:7" x14ac:dyDescent="0.35">
      <c r="A248">
        <v>1140</v>
      </c>
      <c r="B248" t="str">
        <f>IF(F248=2020,INDEX(SOC2020_Structure!E:E,MATCH(sectorLookup!A248,SOC2020_Structure!D:D,0)),INDEX(SOC2010_Structure!E:E,MATCH(sectorLookup!A248,SOC2010_Structure!D:D,0)))</f>
        <v>Directors in logistics, warehousing and transport</v>
      </c>
      <c r="C248" t="s">
        <v>263</v>
      </c>
      <c r="D248" t="str">
        <f>INDEX('group info'!B:B,MATCH(sectorLookup!C248,'group info'!A:A,0))</f>
        <v>Green</v>
      </c>
      <c r="E248" t="s">
        <v>282</v>
      </c>
      <c r="F248">
        <v>2020</v>
      </c>
      <c r="G248" t="str">
        <f t="shared" si="3"/>
        <v>Green SOC2020</v>
      </c>
    </row>
    <row r="249" spans="1:7" x14ac:dyDescent="0.35">
      <c r="A249">
        <v>9121</v>
      </c>
      <c r="B249" t="str">
        <f>IF(F249=2020,INDEX(SOC2020_Structure!E:E,MATCH(sectorLookup!A249,SOC2020_Structure!D:D,0)),INDEX(SOC2010_Structure!E:E,MATCH(sectorLookup!A249,SOC2010_Structure!D:D,0)))</f>
        <v>Groundworkers</v>
      </c>
      <c r="C249" t="s">
        <v>263</v>
      </c>
      <c r="D249" t="str">
        <f>INDEX('group info'!B:B,MATCH(sectorLookup!C249,'group info'!A:A,0))</f>
        <v>Green</v>
      </c>
      <c r="E249" t="s">
        <v>282</v>
      </c>
      <c r="F249">
        <v>2020</v>
      </c>
      <c r="G249" t="str">
        <f t="shared" si="3"/>
        <v>Green SOC2020</v>
      </c>
    </row>
    <row r="250" spans="1:7" x14ac:dyDescent="0.35">
      <c r="A250">
        <v>5449</v>
      </c>
      <c r="B250" t="str">
        <f>IF(F250=2020,INDEX(SOC2020_Structure!E:E,MATCH(sectorLookup!A250,SOC2020_Structure!D:D,0)),INDEX(SOC2010_Structure!E:E,MATCH(sectorLookup!A250,SOC2010_Structure!D:D,0)))</f>
        <v>Other skilled trades n.e.c.</v>
      </c>
      <c r="C250" t="s">
        <v>263</v>
      </c>
      <c r="D250" t="str">
        <f>INDEX('group info'!B:B,MATCH(sectorLookup!C250,'group info'!A:A,0))</f>
        <v>Green</v>
      </c>
      <c r="E250" t="s">
        <v>282</v>
      </c>
      <c r="F250">
        <v>2020</v>
      </c>
      <c r="G250" t="str">
        <f t="shared" si="3"/>
        <v>Green SOC2020</v>
      </c>
    </row>
    <row r="251" spans="1:7" x14ac:dyDescent="0.35">
      <c r="A251">
        <v>5323</v>
      </c>
      <c r="B251" t="str">
        <f>IF(F251=2020,INDEX(SOC2020_Structure!E:E,MATCH(sectorLookup!A251,SOC2020_Structure!D:D,0)),INDEX(SOC2010_Structure!E:E,MATCH(sectorLookup!A251,SOC2010_Structure!D:D,0)))</f>
        <v>Painters and decorators</v>
      </c>
      <c r="C251" t="s">
        <v>263</v>
      </c>
      <c r="D251" t="str">
        <f>INDEX('group info'!B:B,MATCH(sectorLookup!C251,'group info'!A:A,0))</f>
        <v>Green</v>
      </c>
      <c r="E251" t="s">
        <v>282</v>
      </c>
      <c r="F251">
        <v>2020</v>
      </c>
      <c r="G251" t="str">
        <f t="shared" si="3"/>
        <v>Green SOC2020</v>
      </c>
    </row>
    <row r="252" spans="1:7" x14ac:dyDescent="0.35">
      <c r="A252">
        <v>5322</v>
      </c>
      <c r="B252" t="str">
        <f>IF(F252=2020,INDEX(SOC2020_Structure!E:E,MATCH(sectorLookup!A252,SOC2020_Structure!D:D,0)),INDEX(SOC2010_Structure!E:E,MATCH(sectorLookup!A252,SOC2010_Structure!D:D,0)))</f>
        <v>Floorers and wall tilers</v>
      </c>
      <c r="C252" t="s">
        <v>263</v>
      </c>
      <c r="D252" t="str">
        <f>INDEX('group info'!B:B,MATCH(sectorLookup!C252,'group info'!A:A,0))</f>
        <v>Green</v>
      </c>
      <c r="E252" t="s">
        <v>282</v>
      </c>
      <c r="F252">
        <v>2020</v>
      </c>
      <c r="G252" t="str">
        <f t="shared" si="3"/>
        <v>Green SOC2020</v>
      </c>
    </row>
    <row r="253" spans="1:7" x14ac:dyDescent="0.35">
      <c r="A253">
        <v>5321</v>
      </c>
      <c r="B253" t="str">
        <f>IF(F253=2020,INDEX(SOC2020_Structure!E:E,MATCH(sectorLookup!A253,SOC2020_Structure!D:D,0)),INDEX(SOC2010_Structure!E:E,MATCH(sectorLookup!A253,SOC2010_Structure!D:D,0)))</f>
        <v>Plasterers</v>
      </c>
      <c r="C253" t="s">
        <v>263</v>
      </c>
      <c r="D253" t="str">
        <f>INDEX('group info'!B:B,MATCH(sectorLookup!C253,'group info'!A:A,0))</f>
        <v>Green</v>
      </c>
      <c r="E253" t="s">
        <v>282</v>
      </c>
      <c r="F253">
        <v>2020</v>
      </c>
      <c r="G253" t="str">
        <f t="shared" si="3"/>
        <v>Green SOC2020</v>
      </c>
    </row>
    <row r="254" spans="1:7" x14ac:dyDescent="0.35">
      <c r="A254">
        <v>5319</v>
      </c>
      <c r="B254" t="str">
        <f>IF(F254=2020,INDEX(SOC2020_Structure!E:E,MATCH(sectorLookup!A254,SOC2020_Structure!D:D,0)),INDEX(SOC2010_Structure!E:E,MATCH(sectorLookup!A254,SOC2010_Structure!D:D,0)))</f>
        <v>Construction and building trades n.e.c.</v>
      </c>
      <c r="C254" t="s">
        <v>263</v>
      </c>
      <c r="D254" t="str">
        <f>INDEX('group info'!B:B,MATCH(sectorLookup!C254,'group info'!A:A,0))</f>
        <v>Green</v>
      </c>
      <c r="E254" t="s">
        <v>282</v>
      </c>
      <c r="F254">
        <v>2020</v>
      </c>
      <c r="G254" t="str">
        <f t="shared" si="3"/>
        <v>Green SOC2020</v>
      </c>
    </row>
    <row r="255" spans="1:7" x14ac:dyDescent="0.35">
      <c r="A255">
        <v>5317</v>
      </c>
      <c r="B255" t="str">
        <f>IF(F255=2020,INDEX(SOC2020_Structure!E:E,MATCH(sectorLookup!A255,SOC2020_Structure!D:D,0)),INDEX(SOC2010_Structure!E:E,MATCH(sectorLookup!A255,SOC2010_Structure!D:D,0)))</f>
        <v>Glaziers, window fabricators and fitters</v>
      </c>
      <c r="C255" t="s">
        <v>263</v>
      </c>
      <c r="D255" t="str">
        <f>INDEX('group info'!B:B,MATCH(sectorLookup!C255,'group info'!A:A,0))</f>
        <v>Green</v>
      </c>
      <c r="E255" t="s">
        <v>282</v>
      </c>
      <c r="F255">
        <v>2020</v>
      </c>
      <c r="G255" t="str">
        <f t="shared" si="3"/>
        <v>Green SOC2020</v>
      </c>
    </row>
    <row r="256" spans="1:7" x14ac:dyDescent="0.35">
      <c r="A256">
        <v>5316</v>
      </c>
      <c r="B256" t="str">
        <f>IF(F256=2020,INDEX(SOC2020_Structure!E:E,MATCH(sectorLookup!A256,SOC2020_Structure!D:D,0)),INDEX(SOC2010_Structure!E:E,MATCH(sectorLookup!A256,SOC2010_Structure!D:D,0)))</f>
        <v>Carpenters and joiners</v>
      </c>
      <c r="C256" t="s">
        <v>263</v>
      </c>
      <c r="D256" t="str">
        <f>INDEX('group info'!B:B,MATCH(sectorLookup!C256,'group info'!A:A,0))</f>
        <v>Green</v>
      </c>
      <c r="E256" t="s">
        <v>282</v>
      </c>
      <c r="F256">
        <v>2020</v>
      </c>
      <c r="G256" t="str">
        <f t="shared" si="3"/>
        <v>Green SOC2020</v>
      </c>
    </row>
    <row r="257" spans="1:7" x14ac:dyDescent="0.35">
      <c r="A257">
        <v>5315</v>
      </c>
      <c r="B257" t="str">
        <f>IF(F257=2020,INDEX(SOC2020_Structure!E:E,MATCH(sectorLookup!A257,SOC2020_Structure!D:D,0)),INDEX(SOC2010_Structure!E:E,MATCH(sectorLookup!A257,SOC2010_Structure!D:D,0)))</f>
        <v>Plumbers and heating and ventilating installers and repairers</v>
      </c>
      <c r="C257" t="s">
        <v>263</v>
      </c>
      <c r="D257" t="str">
        <f>INDEX('group info'!B:B,MATCH(sectorLookup!C257,'group info'!A:A,0))</f>
        <v>Green</v>
      </c>
      <c r="E257" t="s">
        <v>282</v>
      </c>
      <c r="F257">
        <v>2020</v>
      </c>
      <c r="G257" t="str">
        <f t="shared" si="3"/>
        <v>Green SOC2020</v>
      </c>
    </row>
    <row r="258" spans="1:7" x14ac:dyDescent="0.35">
      <c r="A258">
        <v>5314</v>
      </c>
      <c r="B258" t="str">
        <f>IF(F258=2020,INDEX(SOC2020_Structure!E:E,MATCH(sectorLookup!A258,SOC2020_Structure!D:D,0)),INDEX(SOC2010_Structure!E:E,MATCH(sectorLookup!A258,SOC2010_Structure!D:D,0)))</f>
        <v>Roofers, roof tilers and slaters</v>
      </c>
      <c r="C258" t="s">
        <v>263</v>
      </c>
      <c r="D258" t="str">
        <f>INDEX('group info'!B:B,MATCH(sectorLookup!C258,'group info'!A:A,0))</f>
        <v>Green</v>
      </c>
      <c r="E258" t="s">
        <v>282</v>
      </c>
      <c r="F258">
        <v>2020</v>
      </c>
      <c r="G258" t="str">
        <f t="shared" si="3"/>
        <v>Green SOC2020</v>
      </c>
    </row>
    <row r="259" spans="1:7" x14ac:dyDescent="0.35">
      <c r="A259">
        <v>5313</v>
      </c>
      <c r="B259" t="str">
        <f>IF(F259=2020,INDEX(SOC2020_Structure!E:E,MATCH(sectorLookup!A259,SOC2020_Structure!D:D,0)),INDEX(SOC2010_Structure!E:E,MATCH(sectorLookup!A259,SOC2010_Structure!D:D,0)))</f>
        <v>Bricklayers</v>
      </c>
      <c r="C259" t="s">
        <v>263</v>
      </c>
      <c r="D259" t="str">
        <f>INDEX('group info'!B:B,MATCH(sectorLookup!C259,'group info'!A:A,0))</f>
        <v>Green</v>
      </c>
      <c r="E259" t="s">
        <v>282</v>
      </c>
      <c r="F259">
        <v>2020</v>
      </c>
      <c r="G259" t="str">
        <f t="shared" ref="G259:G322" si="4">D259&amp;" SOC"&amp;F259</f>
        <v>Green SOC2020</v>
      </c>
    </row>
    <row r="260" spans="1:7" x14ac:dyDescent="0.35">
      <c r="A260">
        <v>5312</v>
      </c>
      <c r="B260" t="str">
        <f>IF(F260=2020,INDEX(SOC2020_Structure!E:E,MATCH(sectorLookup!A260,SOC2020_Structure!D:D,0)),INDEX(SOC2010_Structure!E:E,MATCH(sectorLookup!A260,SOC2010_Structure!D:D,0)))</f>
        <v>Stonemasons and related trades</v>
      </c>
      <c r="C260" t="s">
        <v>263</v>
      </c>
      <c r="D260" t="str">
        <f>INDEX('group info'!B:B,MATCH(sectorLookup!C260,'group info'!A:A,0))</f>
        <v>Green</v>
      </c>
      <c r="E260" t="s">
        <v>282</v>
      </c>
      <c r="F260">
        <v>2020</v>
      </c>
      <c r="G260" t="str">
        <f t="shared" si="4"/>
        <v>Green SOC2020</v>
      </c>
    </row>
    <row r="261" spans="1:7" x14ac:dyDescent="0.35">
      <c r="A261">
        <v>5245</v>
      </c>
      <c r="B261" t="str">
        <f>IF(F261=2020,INDEX(SOC2020_Structure!E:E,MATCH(sectorLookup!A261,SOC2020_Structure!D:D,0)),INDEX(SOC2010_Structure!E:E,MATCH(sectorLookup!A261,SOC2010_Structure!D:D,0)))</f>
        <v>Security system installers and repairers</v>
      </c>
      <c r="C261" t="s">
        <v>263</v>
      </c>
      <c r="D261" t="str">
        <f>INDEX('group info'!B:B,MATCH(sectorLookup!C261,'group info'!A:A,0))</f>
        <v>Green</v>
      </c>
      <c r="E261" t="s">
        <v>282</v>
      </c>
      <c r="F261">
        <v>2020</v>
      </c>
      <c r="G261" t="str">
        <f t="shared" si="4"/>
        <v>Green SOC2020</v>
      </c>
    </row>
    <row r="262" spans="1:7" x14ac:dyDescent="0.35">
      <c r="A262">
        <v>5225</v>
      </c>
      <c r="B262" t="str">
        <f>IF(F262=2020,INDEX(SOC2020_Structure!E:E,MATCH(sectorLookup!A262,SOC2020_Structure!D:D,0)),INDEX(SOC2010_Structure!E:E,MATCH(sectorLookup!A262,SOC2010_Structure!D:D,0)))</f>
        <v>Air-conditioning and refrigeration installers and repairers</v>
      </c>
      <c r="C262" t="s">
        <v>263</v>
      </c>
      <c r="D262" t="str">
        <f>INDEX('group info'!B:B,MATCH(sectorLookup!C262,'group info'!A:A,0))</f>
        <v>Green</v>
      </c>
      <c r="E262" t="s">
        <v>282</v>
      </c>
      <c r="F262">
        <v>2020</v>
      </c>
      <c r="G262" t="str">
        <f t="shared" si="4"/>
        <v>Green SOC2020</v>
      </c>
    </row>
    <row r="263" spans="1:7" x14ac:dyDescent="0.35">
      <c r="A263">
        <v>3114</v>
      </c>
      <c r="B263" t="str">
        <f>IF(F263=2020,INDEX(SOC2020_Structure!E:E,MATCH(sectorLookup!A263,SOC2020_Structure!D:D,0)),INDEX(SOC2010_Structure!E:E,MATCH(sectorLookup!A263,SOC2010_Structure!D:D,0)))</f>
        <v>Building and civil engineering technicians</v>
      </c>
      <c r="C263" t="s">
        <v>263</v>
      </c>
      <c r="D263" t="str">
        <f>INDEX('group info'!B:B,MATCH(sectorLookup!C263,'group info'!A:A,0))</f>
        <v>Green</v>
      </c>
      <c r="E263" t="s">
        <v>282</v>
      </c>
      <c r="F263">
        <v>2020</v>
      </c>
      <c r="G263" t="str">
        <f t="shared" si="4"/>
        <v>Green SOC2020</v>
      </c>
    </row>
    <row r="264" spans="1:7" x14ac:dyDescent="0.35">
      <c r="A264">
        <v>2454</v>
      </c>
      <c r="B264" t="str">
        <f>IF(F264=2020,INDEX(SOC2020_Structure!E:E,MATCH(sectorLookup!A264,SOC2020_Structure!D:D,0)),INDEX(SOC2010_Structure!E:E,MATCH(sectorLookup!A264,SOC2010_Structure!D:D,0)))</f>
        <v>Chartered surveyors</v>
      </c>
      <c r="C264" t="s">
        <v>263</v>
      </c>
      <c r="D264" t="str">
        <f>INDEX('group info'!B:B,MATCH(sectorLookup!C264,'group info'!A:A,0))</f>
        <v>Green</v>
      </c>
      <c r="E264" t="s">
        <v>282</v>
      </c>
      <c r="F264">
        <v>2020</v>
      </c>
      <c r="G264" t="str">
        <f t="shared" si="4"/>
        <v>Green SOC2020</v>
      </c>
    </row>
    <row r="265" spans="1:7" x14ac:dyDescent="0.35">
      <c r="A265">
        <v>2453</v>
      </c>
      <c r="B265" t="str">
        <f>IF(F265=2020,INDEX(SOC2020_Structure!E:E,MATCH(sectorLookup!A265,SOC2020_Structure!D:D,0)),INDEX(SOC2010_Structure!E:E,MATCH(sectorLookup!A265,SOC2010_Structure!D:D,0)))</f>
        <v>Quantity surveyors</v>
      </c>
      <c r="C265" t="s">
        <v>263</v>
      </c>
      <c r="D265" t="str">
        <f>INDEX('group info'!B:B,MATCH(sectorLookup!C265,'group info'!A:A,0))</f>
        <v>Green</v>
      </c>
      <c r="E265" t="s">
        <v>282</v>
      </c>
      <c r="F265">
        <v>2020</v>
      </c>
      <c r="G265" t="str">
        <f t="shared" si="4"/>
        <v>Green SOC2020</v>
      </c>
    </row>
    <row r="266" spans="1:7" x14ac:dyDescent="0.35">
      <c r="A266">
        <v>2451</v>
      </c>
      <c r="B266" t="str">
        <f>IF(F266=2020,INDEX(SOC2020_Structure!E:E,MATCH(sectorLookup!A266,SOC2020_Structure!D:D,0)),INDEX(SOC2010_Structure!E:E,MATCH(sectorLookup!A266,SOC2010_Structure!D:D,0)))</f>
        <v>Architects</v>
      </c>
      <c r="C266" t="s">
        <v>263</v>
      </c>
      <c r="D266" t="str">
        <f>INDEX('group info'!B:B,MATCH(sectorLookup!C266,'group info'!A:A,0))</f>
        <v>Green</v>
      </c>
      <c r="E266" t="s">
        <v>282</v>
      </c>
      <c r="F266">
        <v>2020</v>
      </c>
      <c r="G266" t="str">
        <f t="shared" si="4"/>
        <v>Green SOC2020</v>
      </c>
    </row>
    <row r="267" spans="1:7" x14ac:dyDescent="0.35">
      <c r="A267">
        <v>2151</v>
      </c>
      <c r="B267" t="str">
        <f>IF(F267=2020,INDEX(SOC2020_Structure!E:E,MATCH(sectorLookup!A267,SOC2020_Structure!D:D,0)),INDEX(SOC2010_Structure!E:E,MATCH(sectorLookup!A267,SOC2010_Structure!D:D,0)))</f>
        <v>Conservation professionals</v>
      </c>
      <c r="C267" t="s">
        <v>263</v>
      </c>
      <c r="D267" t="str">
        <f>INDEX('group info'!B:B,MATCH(sectorLookup!C267,'group info'!A:A,0))</f>
        <v>Green</v>
      </c>
      <c r="E267" t="s">
        <v>282</v>
      </c>
      <c r="F267">
        <v>2020</v>
      </c>
      <c r="G267" t="str">
        <f t="shared" si="4"/>
        <v>Green SOC2020</v>
      </c>
    </row>
    <row r="268" spans="1:7" x14ac:dyDescent="0.35">
      <c r="A268">
        <v>2134</v>
      </c>
      <c r="B268" t="str">
        <f>IF(F268=2020,INDEX(SOC2020_Structure!E:E,MATCH(sectorLookup!A268,SOC2020_Structure!D:D,0)),INDEX(SOC2010_Structure!E:E,MATCH(sectorLookup!A268,SOC2010_Structure!D:D,0)))</f>
        <v>Programmers and software development professionals</v>
      </c>
      <c r="C268" t="s">
        <v>263</v>
      </c>
      <c r="D268" t="str">
        <f>INDEX('group info'!B:B,MATCH(sectorLookup!C268,'group info'!A:A,0))</f>
        <v>Green</v>
      </c>
      <c r="E268" t="s">
        <v>282</v>
      </c>
      <c r="F268">
        <v>2020</v>
      </c>
      <c r="G268" t="str">
        <f t="shared" si="4"/>
        <v>Green SOC2020</v>
      </c>
    </row>
    <row r="269" spans="1:7" x14ac:dyDescent="0.35">
      <c r="A269">
        <v>8142</v>
      </c>
      <c r="B269" t="str">
        <f>IF(F269=2020,INDEX(SOC2020_Structure!E:E,MATCH(sectorLookup!A269,SOC2020_Structure!D:D,0)),INDEX(SOC2010_Structure!E:E,MATCH(sectorLookup!A269,SOC2010_Structure!D:D,0)))</f>
        <v>Assemblers (vehicles and metal goods)</v>
      </c>
      <c r="C269" t="s">
        <v>263</v>
      </c>
      <c r="D269" t="str">
        <f>INDEX('group info'!B:B,MATCH(sectorLookup!C269,'group info'!A:A,0))</f>
        <v>Green</v>
      </c>
      <c r="E269" t="s">
        <v>282</v>
      </c>
      <c r="F269">
        <v>2020</v>
      </c>
      <c r="G269" t="str">
        <f t="shared" si="4"/>
        <v>Green SOC2020</v>
      </c>
    </row>
    <row r="270" spans="1:7" x14ac:dyDescent="0.35">
      <c r="A270">
        <v>5232</v>
      </c>
      <c r="B270" t="str">
        <f>IF(F270=2020,INDEX(SOC2020_Structure!E:E,MATCH(sectorLookup!A270,SOC2020_Structure!D:D,0)),INDEX(SOC2010_Structure!E:E,MATCH(sectorLookup!A270,SOC2010_Structure!D:D,0)))</f>
        <v>Vehicle body builders and repairers</v>
      </c>
      <c r="C270" t="s">
        <v>263</v>
      </c>
      <c r="D270" t="str">
        <f>INDEX('group info'!B:B,MATCH(sectorLookup!C270,'group info'!A:A,0))</f>
        <v>Green</v>
      </c>
      <c r="E270" t="s">
        <v>282</v>
      </c>
      <c r="F270">
        <v>2020</v>
      </c>
      <c r="G270" t="str">
        <f t="shared" si="4"/>
        <v>Green SOC2020</v>
      </c>
    </row>
    <row r="271" spans="1:7" x14ac:dyDescent="0.35">
      <c r="A271">
        <v>5231</v>
      </c>
      <c r="B271" t="str">
        <f>IF(F271=2020,INDEX(SOC2020_Structure!E:E,MATCH(sectorLookup!A271,SOC2020_Structure!D:D,0)),INDEX(SOC2010_Structure!E:E,MATCH(sectorLookup!A271,SOC2010_Structure!D:D,0)))</f>
        <v>Vehicle technicians, mechanics and electricians</v>
      </c>
      <c r="C271" t="s">
        <v>263</v>
      </c>
      <c r="D271" t="str">
        <f>INDEX('group info'!B:B,MATCH(sectorLookup!C271,'group info'!A:A,0))</f>
        <v>Green</v>
      </c>
      <c r="E271" t="s">
        <v>282</v>
      </c>
      <c r="F271">
        <v>2020</v>
      </c>
      <c r="G271" t="str">
        <f t="shared" si="4"/>
        <v>Green SOC2020</v>
      </c>
    </row>
    <row r="272" spans="1:7" x14ac:dyDescent="0.35">
      <c r="A272">
        <v>5222</v>
      </c>
      <c r="B272" t="str">
        <f>IF(F272=2020,INDEX(SOC2020_Structure!E:E,MATCH(sectorLookup!A272,SOC2020_Structure!D:D,0)),INDEX(SOC2010_Structure!E:E,MATCH(sectorLookup!A272,SOC2010_Structure!D:D,0)))</f>
        <v>Tool makers, tool fitters and markers-out</v>
      </c>
      <c r="C272" t="s">
        <v>263</v>
      </c>
      <c r="D272" t="str">
        <f>INDEX('group info'!B:B,MATCH(sectorLookup!C272,'group info'!A:A,0))</f>
        <v>Green</v>
      </c>
      <c r="E272" t="s">
        <v>282</v>
      </c>
      <c r="F272">
        <v>2020</v>
      </c>
      <c r="G272" t="str">
        <f t="shared" si="4"/>
        <v>Green SOC2020</v>
      </c>
    </row>
    <row r="273" spans="1:7" x14ac:dyDescent="0.35">
      <c r="A273">
        <v>3556</v>
      </c>
      <c r="B273" t="str">
        <f>IF(F273=2020,INDEX(SOC2020_Structure!E:E,MATCH(sectorLookup!A273,SOC2020_Structure!D:D,0)),INDEX(SOC2010_Structure!E:E,MATCH(sectorLookup!A273,SOC2010_Structure!D:D,0)))</f>
        <v>Sales accounts and business development managers</v>
      </c>
      <c r="C273" t="s">
        <v>263</v>
      </c>
      <c r="D273" t="str">
        <f>INDEX('group info'!B:B,MATCH(sectorLookup!C273,'group info'!A:A,0))</f>
        <v>Green</v>
      </c>
      <c r="E273" t="s">
        <v>282</v>
      </c>
      <c r="F273">
        <v>2020</v>
      </c>
      <c r="G273" t="str">
        <f t="shared" si="4"/>
        <v>Green SOC2020</v>
      </c>
    </row>
    <row r="274" spans="1:7" x14ac:dyDescent="0.35">
      <c r="A274">
        <v>3116</v>
      </c>
      <c r="B274" t="str">
        <f>IF(F274=2020,INDEX(SOC2020_Structure!E:E,MATCH(sectorLookup!A274,SOC2020_Structure!D:D,0)),INDEX(SOC2010_Structure!E:E,MATCH(sectorLookup!A274,SOC2010_Structure!D:D,0)))</f>
        <v>Planning, process and production technicians</v>
      </c>
      <c r="C274" t="s">
        <v>263</v>
      </c>
      <c r="D274" t="str">
        <f>INDEX('group info'!B:B,MATCH(sectorLookup!C274,'group info'!A:A,0))</f>
        <v>Green</v>
      </c>
      <c r="E274" t="s">
        <v>282</v>
      </c>
      <c r="F274">
        <v>2020</v>
      </c>
      <c r="G274" t="str">
        <f t="shared" si="4"/>
        <v>Green SOC2020</v>
      </c>
    </row>
    <row r="275" spans="1:7" x14ac:dyDescent="0.35">
      <c r="A275">
        <v>2111</v>
      </c>
      <c r="B275" t="str">
        <f>IF(F275=2020,INDEX(SOC2020_Structure!E:E,MATCH(sectorLookup!A275,SOC2020_Structure!D:D,0)),INDEX(SOC2010_Structure!E:E,MATCH(sectorLookup!A275,SOC2010_Structure!D:D,0)))</f>
        <v>Chemical scientists</v>
      </c>
      <c r="C275" t="s">
        <v>263</v>
      </c>
      <c r="D275" t="str">
        <f>INDEX('group info'!B:B,MATCH(sectorLookup!C275,'group info'!A:A,0))</f>
        <v>Green</v>
      </c>
      <c r="E275" t="s">
        <v>282</v>
      </c>
      <c r="F275">
        <v>2020</v>
      </c>
      <c r="G275" t="str">
        <f t="shared" si="4"/>
        <v>Green SOC2020</v>
      </c>
    </row>
    <row r="276" spans="1:7" x14ac:dyDescent="0.35">
      <c r="A276">
        <v>1139</v>
      </c>
      <c r="B276" t="str">
        <f>IF(F276=2020,INDEX(SOC2020_Structure!E:E,MATCH(sectorLookup!A276,SOC2020_Structure!D:D,0)),INDEX(SOC2010_Structure!E:E,MATCH(sectorLookup!A276,SOC2010_Structure!D:D,0)))</f>
        <v>Functional managers and directors n.e.c.</v>
      </c>
      <c r="C276" t="s">
        <v>263</v>
      </c>
      <c r="D276" t="str">
        <f>INDEX('group info'!B:B,MATCH(sectorLookup!C276,'group info'!A:A,0))</f>
        <v>Green</v>
      </c>
      <c r="E276" t="s">
        <v>282</v>
      </c>
      <c r="F276">
        <v>2020</v>
      </c>
      <c r="G276" t="str">
        <f t="shared" si="4"/>
        <v>Green SOC2020</v>
      </c>
    </row>
    <row r="277" spans="1:7" x14ac:dyDescent="0.35">
      <c r="A277">
        <v>2135</v>
      </c>
      <c r="B277" t="str">
        <f>IF(F277=2020,INDEX(SOC2020_Structure!E:E,MATCH(sectorLookup!A277,SOC2020_Structure!D:D,0)),INDEX(SOC2010_Structure!E:E,MATCH(sectorLookup!A277,SOC2010_Structure!D:D,0)))</f>
        <v>Cyber security professionals</v>
      </c>
      <c r="C277" t="s">
        <v>263</v>
      </c>
      <c r="D277" t="str">
        <f>INDEX('group info'!B:B,MATCH(sectorLookup!C277,'group info'!A:A,0))</f>
        <v>Green</v>
      </c>
      <c r="E277" t="s">
        <v>282</v>
      </c>
      <c r="F277">
        <v>2020</v>
      </c>
      <c r="G277" t="str">
        <f t="shared" si="4"/>
        <v>Green SOC2020</v>
      </c>
    </row>
    <row r="278" spans="1:7" x14ac:dyDescent="0.35">
      <c r="A278">
        <v>2119</v>
      </c>
      <c r="B278" t="str">
        <f>IF(F278=2020,INDEX(SOC2020_Structure!E:E,MATCH(sectorLookup!A278,SOC2020_Structure!D:D,0)),INDEX(SOC2010_Structure!E:E,MATCH(sectorLookup!A278,SOC2010_Structure!D:D,0)))</f>
        <v>Natural and social science professionals n.e.c.</v>
      </c>
      <c r="C278" t="s">
        <v>263</v>
      </c>
      <c r="D278" t="str">
        <f>INDEX('group info'!B:B,MATCH(sectorLookup!C278,'group info'!A:A,0))</f>
        <v>Green</v>
      </c>
      <c r="E278" t="s">
        <v>282</v>
      </c>
      <c r="F278">
        <v>2020</v>
      </c>
      <c r="G278" t="str">
        <f t="shared" si="4"/>
        <v>Green SOC2020</v>
      </c>
    </row>
    <row r="279" spans="1:7" x14ac:dyDescent="0.35">
      <c r="A279">
        <v>9112</v>
      </c>
      <c r="B279" t="str">
        <f>IF(F279=2020,INDEX(SOC2020_Structure!E:E,MATCH(sectorLookup!A279,SOC2020_Structure!D:D,0)),INDEX(SOC2010_Structure!E:E,MATCH(sectorLookup!A279,SOC2010_Structure!D:D,0)))</f>
        <v>Forestry and related workers</v>
      </c>
      <c r="C279" t="s">
        <v>263</v>
      </c>
      <c r="D279" t="str">
        <f>INDEX('group info'!B:B,MATCH(sectorLookup!C279,'group info'!A:A,0))</f>
        <v>Green</v>
      </c>
      <c r="E279" t="s">
        <v>282</v>
      </c>
      <c r="F279">
        <v>2020</v>
      </c>
      <c r="G279" t="str">
        <f t="shared" si="4"/>
        <v>Green SOC2020</v>
      </c>
    </row>
    <row r="280" spans="1:7" x14ac:dyDescent="0.35">
      <c r="A280">
        <v>5114</v>
      </c>
      <c r="B280" t="str">
        <f>IF(F280=2020,INDEX(SOC2020_Structure!E:E,MATCH(sectorLookup!A280,SOC2020_Structure!D:D,0)),INDEX(SOC2010_Structure!E:E,MATCH(sectorLookup!A280,SOC2010_Structure!D:D,0)))</f>
        <v>Groundsmen and greenkeepers</v>
      </c>
      <c r="C280" t="s">
        <v>263</v>
      </c>
      <c r="D280" t="str">
        <f>INDEX('group info'!B:B,MATCH(sectorLookup!C280,'group info'!A:A,0))</f>
        <v>Green</v>
      </c>
      <c r="E280" t="s">
        <v>282</v>
      </c>
      <c r="F280">
        <v>2020</v>
      </c>
      <c r="G280" t="str">
        <f t="shared" si="4"/>
        <v>Green SOC2020</v>
      </c>
    </row>
    <row r="281" spans="1:7" x14ac:dyDescent="0.35">
      <c r="A281">
        <v>5112</v>
      </c>
      <c r="B281" t="str">
        <f>IF(F281=2020,INDEX(SOC2020_Structure!E:E,MATCH(sectorLookup!A281,SOC2020_Structure!D:D,0)),INDEX(SOC2010_Structure!E:E,MATCH(sectorLookup!A281,SOC2010_Structure!D:D,0)))</f>
        <v>Horticultural trades</v>
      </c>
      <c r="C281" t="s">
        <v>263</v>
      </c>
      <c r="D281" t="str">
        <f>INDEX('group info'!B:B,MATCH(sectorLookup!C281,'group info'!A:A,0))</f>
        <v>Green</v>
      </c>
      <c r="E281" t="s">
        <v>282</v>
      </c>
      <c r="F281">
        <v>2020</v>
      </c>
      <c r="G281" t="str">
        <f t="shared" si="4"/>
        <v>Green SOC2020</v>
      </c>
    </row>
    <row r="282" spans="1:7" x14ac:dyDescent="0.35">
      <c r="A282">
        <v>5111</v>
      </c>
      <c r="B282" t="str">
        <f>IF(F282=2020,INDEX(SOC2020_Structure!E:E,MATCH(sectorLookup!A282,SOC2020_Structure!D:D,0)),INDEX(SOC2010_Structure!E:E,MATCH(sectorLookup!A282,SOC2010_Structure!D:D,0)))</f>
        <v>Farmers</v>
      </c>
      <c r="C282" t="s">
        <v>263</v>
      </c>
      <c r="D282" t="str">
        <f>INDEX('group info'!B:B,MATCH(sectorLookup!C282,'group info'!A:A,0))</f>
        <v>Green</v>
      </c>
      <c r="E282" t="s">
        <v>282</v>
      </c>
      <c r="F282">
        <v>2020</v>
      </c>
      <c r="G282" t="str">
        <f t="shared" si="4"/>
        <v>Green SOC2020</v>
      </c>
    </row>
    <row r="283" spans="1:7" x14ac:dyDescent="0.35">
      <c r="A283">
        <v>3313</v>
      </c>
      <c r="B283" t="str">
        <f>IF(F283=2020,INDEX(SOC2020_Structure!E:E,MATCH(sectorLookup!A283,SOC2020_Structure!D:D,0)),INDEX(SOC2010_Structure!E:E,MATCH(sectorLookup!A283,SOC2010_Structure!D:D,0)))</f>
        <v>Fire service officers (watch manager and below)</v>
      </c>
      <c r="C283" t="s">
        <v>263</v>
      </c>
      <c r="D283" t="str">
        <f>INDEX('group info'!B:B,MATCH(sectorLookup!C283,'group info'!A:A,0))</f>
        <v>Green</v>
      </c>
      <c r="E283" t="s">
        <v>282</v>
      </c>
      <c r="F283">
        <v>2020</v>
      </c>
      <c r="G283" t="str">
        <f t="shared" si="4"/>
        <v>Green SOC2020</v>
      </c>
    </row>
    <row r="284" spans="1:7" x14ac:dyDescent="0.35">
      <c r="A284">
        <v>9259</v>
      </c>
      <c r="B284" t="str">
        <f>IF(F284=2020,INDEX(SOC2020_Structure!E:E,MATCH(sectorLookup!A284,SOC2020_Structure!D:D,0)),INDEX(SOC2010_Structure!E:E,MATCH(sectorLookup!A284,SOC2010_Structure!D:D,0)))</f>
        <v>Elementary storage occupations n.e.c.</v>
      </c>
      <c r="C284" t="s">
        <v>263</v>
      </c>
      <c r="D284" t="str">
        <f>INDEX('group info'!B:B,MATCH(sectorLookup!C284,'group info'!A:A,0))</f>
        <v>Green</v>
      </c>
      <c r="E284" t="s">
        <v>282</v>
      </c>
      <c r="F284">
        <v>2020</v>
      </c>
      <c r="G284" t="str">
        <f t="shared" si="4"/>
        <v>Green SOC2020</v>
      </c>
    </row>
    <row r="285" spans="1:7" x14ac:dyDescent="0.35">
      <c r="A285">
        <v>8239</v>
      </c>
      <c r="B285" t="str">
        <f>IF(F285=2020,INDEX(SOC2020_Structure!E:E,MATCH(sectorLookup!A285,SOC2020_Structure!D:D,0)),INDEX(SOC2010_Structure!E:E,MATCH(sectorLookup!A285,SOC2010_Structure!D:D,0)))</f>
        <v>Other drivers and transport operatives n.e.c.</v>
      </c>
      <c r="C285" t="s">
        <v>263</v>
      </c>
      <c r="D285" t="str">
        <f>INDEX('group info'!B:B,MATCH(sectorLookup!C285,'group info'!A:A,0))</f>
        <v>Green</v>
      </c>
      <c r="E285" t="s">
        <v>282</v>
      </c>
      <c r="F285">
        <v>2020</v>
      </c>
      <c r="G285" t="str">
        <f t="shared" si="4"/>
        <v>Green SOC2020</v>
      </c>
    </row>
    <row r="286" spans="1:7" x14ac:dyDescent="0.35">
      <c r="A286">
        <v>8232</v>
      </c>
      <c r="B286" t="str">
        <f>IF(F286=2020,INDEX(SOC2020_Structure!E:E,MATCH(sectorLookup!A286,SOC2020_Structure!D:D,0)),INDEX(SOC2010_Structure!E:E,MATCH(sectorLookup!A286,SOC2010_Structure!D:D,0)))</f>
        <v>Marine and waterways transport operatives</v>
      </c>
      <c r="C286" t="s">
        <v>263</v>
      </c>
      <c r="D286" t="str">
        <f>INDEX('group info'!B:B,MATCH(sectorLookup!C286,'group info'!A:A,0))</f>
        <v>Green</v>
      </c>
      <c r="E286" t="s">
        <v>282</v>
      </c>
      <c r="F286">
        <v>2020</v>
      </c>
      <c r="G286" t="str">
        <f t="shared" si="4"/>
        <v>Green SOC2020</v>
      </c>
    </row>
    <row r="287" spans="1:7" x14ac:dyDescent="0.35">
      <c r="A287">
        <v>8115</v>
      </c>
      <c r="B287" t="str">
        <f>IF(F287=2020,INDEX(SOC2020_Structure!E:E,MATCH(sectorLookup!A287,SOC2020_Structure!D:D,0)),INDEX(SOC2010_Structure!E:E,MATCH(sectorLookup!A287,SOC2010_Structure!D:D,0)))</f>
        <v>Metal making and treating process operatives</v>
      </c>
      <c r="C287" t="s">
        <v>263</v>
      </c>
      <c r="D287" t="str">
        <f>INDEX('group info'!B:B,MATCH(sectorLookup!C287,'group info'!A:A,0))</f>
        <v>Green</v>
      </c>
      <c r="E287" t="s">
        <v>282</v>
      </c>
      <c r="F287">
        <v>2020</v>
      </c>
      <c r="G287" t="str">
        <f t="shared" si="4"/>
        <v>Green SOC2020</v>
      </c>
    </row>
    <row r="288" spans="1:7" x14ac:dyDescent="0.35">
      <c r="A288">
        <v>5235</v>
      </c>
      <c r="B288" t="str">
        <f>IF(F288=2020,INDEX(SOC2020_Structure!E:E,MATCH(sectorLookup!A288,SOC2020_Structure!D:D,0)),INDEX(SOC2010_Structure!E:E,MATCH(sectorLookup!A288,SOC2010_Structure!D:D,0)))</f>
        <v>Boat and ship builders and repairers</v>
      </c>
      <c r="C288" t="s">
        <v>263</v>
      </c>
      <c r="D288" t="str">
        <f>INDEX('group info'!B:B,MATCH(sectorLookup!C288,'group info'!A:A,0))</f>
        <v>Green</v>
      </c>
      <c r="E288" t="s">
        <v>282</v>
      </c>
      <c r="F288">
        <v>2020</v>
      </c>
      <c r="G288" t="str">
        <f t="shared" si="4"/>
        <v>Green SOC2020</v>
      </c>
    </row>
    <row r="289" spans="1:7" x14ac:dyDescent="0.35">
      <c r="A289">
        <v>4134</v>
      </c>
      <c r="B289" t="str">
        <f>IF(F289=2020,INDEX(SOC2020_Structure!E:E,MATCH(sectorLookup!A289,SOC2020_Structure!D:D,0)),INDEX(SOC2010_Structure!E:E,MATCH(sectorLookup!A289,SOC2010_Structure!D:D,0)))</f>
        <v>Transport and distribution clerks and assistants</v>
      </c>
      <c r="C289" t="s">
        <v>263</v>
      </c>
      <c r="D289" t="str">
        <f>INDEX('group info'!B:B,MATCH(sectorLookup!C289,'group info'!A:A,0))</f>
        <v>Green</v>
      </c>
      <c r="E289" t="s">
        <v>282</v>
      </c>
      <c r="F289">
        <v>2020</v>
      </c>
      <c r="G289" t="str">
        <f t="shared" si="4"/>
        <v>Green SOC2020</v>
      </c>
    </row>
    <row r="290" spans="1:7" x14ac:dyDescent="0.35">
      <c r="A290">
        <v>3542</v>
      </c>
      <c r="B290" t="str">
        <f>IF(F290=2020,INDEX(SOC2020_Structure!E:E,MATCH(sectorLookup!A290,SOC2020_Structure!D:D,0)),INDEX(SOC2010_Structure!E:E,MATCH(sectorLookup!A290,SOC2010_Structure!D:D,0)))</f>
        <v>Importers and exporters</v>
      </c>
      <c r="C290" t="s">
        <v>263</v>
      </c>
      <c r="D290" t="str">
        <f>INDEX('group info'!B:B,MATCH(sectorLookup!C290,'group info'!A:A,0))</f>
        <v>Green</v>
      </c>
      <c r="E290" t="s">
        <v>282</v>
      </c>
      <c r="F290">
        <v>2020</v>
      </c>
      <c r="G290" t="str">
        <f t="shared" si="4"/>
        <v>Green SOC2020</v>
      </c>
    </row>
    <row r="291" spans="1:7" x14ac:dyDescent="0.35">
      <c r="A291">
        <v>3531</v>
      </c>
      <c r="B291" t="str">
        <f>IF(F291=2020,INDEX(SOC2020_Structure!E:E,MATCH(sectorLookup!A291,SOC2020_Structure!D:D,0)),INDEX(SOC2010_Structure!E:E,MATCH(sectorLookup!A291,SOC2010_Structure!D:D,0)))</f>
        <v>Brokers</v>
      </c>
      <c r="C291" t="s">
        <v>263</v>
      </c>
      <c r="D291" t="str">
        <f>INDEX('group info'!B:B,MATCH(sectorLookup!C291,'group info'!A:A,0))</f>
        <v>Green</v>
      </c>
      <c r="E291" t="s">
        <v>282</v>
      </c>
      <c r="F291">
        <v>2020</v>
      </c>
      <c r="G291" t="str">
        <f t="shared" si="4"/>
        <v>Green SOC2020</v>
      </c>
    </row>
    <row r="292" spans="1:7" x14ac:dyDescent="0.35">
      <c r="A292">
        <v>3512</v>
      </c>
      <c r="B292" t="str">
        <f>IF(F292=2020,INDEX(SOC2020_Structure!E:E,MATCH(sectorLookup!A292,SOC2020_Structure!D:D,0)),INDEX(SOC2010_Structure!E:E,MATCH(sectorLookup!A292,SOC2010_Structure!D:D,0)))</f>
        <v>Ship and hovercraft officers</v>
      </c>
      <c r="C292" t="s">
        <v>263</v>
      </c>
      <c r="D292" t="str">
        <f>INDEX('group info'!B:B,MATCH(sectorLookup!C292,'group info'!A:A,0))</f>
        <v>Green</v>
      </c>
      <c r="E292" t="s">
        <v>282</v>
      </c>
      <c r="F292">
        <v>2020</v>
      </c>
      <c r="G292" t="str">
        <f t="shared" si="4"/>
        <v>Green SOC2020</v>
      </c>
    </row>
    <row r="293" spans="1:7" x14ac:dyDescent="0.35">
      <c r="A293">
        <v>3319</v>
      </c>
      <c r="B293" t="str">
        <f>IF(F293=2020,INDEX(SOC2020_Structure!E:E,MATCH(sectorLookup!A293,SOC2020_Structure!D:D,0)),INDEX(SOC2010_Structure!E:E,MATCH(sectorLookup!A293,SOC2010_Structure!D:D,0)))</f>
        <v>Protective service associate professionals n.e.c.</v>
      </c>
      <c r="C293" t="s">
        <v>263</v>
      </c>
      <c r="D293" t="str">
        <f>INDEX('group info'!B:B,MATCH(sectorLookup!C293,'group info'!A:A,0))</f>
        <v>Green</v>
      </c>
      <c r="E293" t="s">
        <v>282</v>
      </c>
      <c r="F293">
        <v>2020</v>
      </c>
      <c r="G293" t="str">
        <f t="shared" si="4"/>
        <v>Green SOC2020</v>
      </c>
    </row>
    <row r="294" spans="1:7" x14ac:dyDescent="0.35">
      <c r="A294">
        <v>1241</v>
      </c>
      <c r="B294" t="str">
        <f>IF(F294=2020,INDEX(SOC2020_Structure!E:E,MATCH(sectorLookup!A294,SOC2020_Structure!D:D,0)),INDEX(SOC2010_Structure!E:E,MATCH(sectorLookup!A294,SOC2010_Structure!D:D,0)))</f>
        <v>Managers in transport and distribution</v>
      </c>
      <c r="C294" t="s">
        <v>263</v>
      </c>
      <c r="D294" t="str">
        <f>INDEX('group info'!B:B,MATCH(sectorLookup!C294,'group info'!A:A,0))</f>
        <v>Green</v>
      </c>
      <c r="E294" t="s">
        <v>282</v>
      </c>
      <c r="F294">
        <v>2020</v>
      </c>
      <c r="G294" t="str">
        <f t="shared" si="4"/>
        <v>Green SOC2020</v>
      </c>
    </row>
    <row r="295" spans="1:7" x14ac:dyDescent="0.35">
      <c r="A295">
        <v>5214</v>
      </c>
      <c r="B295" t="str">
        <f>IF(F295=2020,INDEX(SOC2020_Structure!E:E,MATCH(sectorLookup!A295,SOC2020_Structure!D:D,0)),INDEX(SOC2010_Structure!E:E,MATCH(sectorLookup!A295,SOC2010_Structure!D:D,0)))</f>
        <v>Pipe fitters</v>
      </c>
      <c r="C295" t="s">
        <v>263</v>
      </c>
      <c r="D295" t="str">
        <f>INDEX('group info'!B:B,MATCH(sectorLookup!C295,'group info'!A:A,0))</f>
        <v>Green</v>
      </c>
      <c r="E295" t="s">
        <v>282</v>
      </c>
      <c r="F295">
        <v>2020</v>
      </c>
      <c r="G295" t="str">
        <f t="shared" si="4"/>
        <v>Green SOC2020</v>
      </c>
    </row>
    <row r="296" spans="1:7" x14ac:dyDescent="0.35">
      <c r="A296">
        <v>2483</v>
      </c>
      <c r="B296" t="str">
        <f>IF(F296=2020,INDEX(SOC2020_Structure!E:E,MATCH(sectorLookup!A296,SOC2020_Structure!D:D,0)),INDEX(SOC2010_Structure!E:E,MATCH(sectorLookup!A296,SOC2010_Structure!D:D,0)))</f>
        <v>Environmental health professionals</v>
      </c>
      <c r="C296" t="s">
        <v>263</v>
      </c>
      <c r="D296" t="str">
        <f>INDEX('group info'!B:B,MATCH(sectorLookup!C296,'group info'!A:A,0))</f>
        <v>Green</v>
      </c>
      <c r="E296" t="s">
        <v>282</v>
      </c>
      <c r="F296">
        <v>2020</v>
      </c>
      <c r="G296" t="str">
        <f t="shared" si="4"/>
        <v>Green SOC2020</v>
      </c>
    </row>
    <row r="297" spans="1:7" x14ac:dyDescent="0.35">
      <c r="A297">
        <v>8233</v>
      </c>
      <c r="B297" t="str">
        <f>IF(F297=2020,INDEX(SOC2020_Structure!E:E,MATCH(sectorLookup!A297,SOC2020_Structure!D:D,0)),INDEX(SOC2010_Structure!E:E,MATCH(sectorLookup!A297,SOC2010_Structure!D:D,0)))</f>
        <v>Air transport operatives</v>
      </c>
      <c r="C297" t="s">
        <v>263</v>
      </c>
      <c r="D297" t="str">
        <f>INDEX('group info'!B:B,MATCH(sectorLookup!C297,'group info'!A:A,0))</f>
        <v>Green</v>
      </c>
      <c r="E297" t="s">
        <v>282</v>
      </c>
      <c r="F297">
        <v>2020</v>
      </c>
      <c r="G297" t="str">
        <f t="shared" si="4"/>
        <v>Green SOC2020</v>
      </c>
    </row>
    <row r="298" spans="1:7" x14ac:dyDescent="0.35">
      <c r="A298">
        <v>8120</v>
      </c>
      <c r="B298" t="str">
        <f>IF(F298=2020,INDEX(SOC2020_Structure!E:E,MATCH(sectorLookup!A298,SOC2020_Structure!D:D,0)),INDEX(SOC2010_Structure!E:E,MATCH(sectorLookup!A298,SOC2010_Structure!D:D,0)))</f>
        <v>Metal working machine operatives</v>
      </c>
      <c r="C298" t="s">
        <v>263</v>
      </c>
      <c r="D298" t="str">
        <f>INDEX('group info'!B:B,MATCH(sectorLookup!C298,'group info'!A:A,0))</f>
        <v>Green</v>
      </c>
      <c r="E298" t="s">
        <v>282</v>
      </c>
      <c r="F298">
        <v>2020</v>
      </c>
      <c r="G298" t="str">
        <f t="shared" si="4"/>
        <v>Green SOC2020</v>
      </c>
    </row>
    <row r="299" spans="1:7" x14ac:dyDescent="0.35">
      <c r="A299">
        <v>6240</v>
      </c>
      <c r="B299" t="str">
        <f>IF(F299=2020,INDEX(SOC2020_Structure!E:E,MATCH(sectorLookup!A299,SOC2020_Structure!D:D,0)),INDEX(SOC2010_Structure!E:E,MATCH(sectorLookup!A299,SOC2010_Structure!D:D,0)))</f>
        <v>Cleaning and housekeeping managers and supervisors</v>
      </c>
      <c r="C299" t="s">
        <v>263</v>
      </c>
      <c r="D299" t="str">
        <f>INDEX('group info'!B:B,MATCH(sectorLookup!C299,'group info'!A:A,0))</f>
        <v>Green</v>
      </c>
      <c r="E299" t="s">
        <v>282</v>
      </c>
      <c r="F299">
        <v>2020</v>
      </c>
      <c r="G299" t="str">
        <f t="shared" si="4"/>
        <v>Green SOC2020</v>
      </c>
    </row>
    <row r="300" spans="1:7" x14ac:dyDescent="0.35">
      <c r="A300">
        <v>6213</v>
      </c>
      <c r="B300" t="str">
        <f>IF(F300=2020,INDEX(SOC2020_Structure!E:E,MATCH(sectorLookup!A300,SOC2020_Structure!D:D,0)),INDEX(SOC2010_Structure!E:E,MATCH(sectorLookup!A300,SOC2010_Structure!D:D,0)))</f>
        <v>Air travel assistants</v>
      </c>
      <c r="C300" t="s">
        <v>263</v>
      </c>
      <c r="D300" t="str">
        <f>INDEX('group info'!B:B,MATCH(sectorLookup!C300,'group info'!A:A,0))</f>
        <v>Green</v>
      </c>
      <c r="E300" t="s">
        <v>282</v>
      </c>
      <c r="F300">
        <v>2020</v>
      </c>
      <c r="G300" t="str">
        <f t="shared" si="4"/>
        <v>Green SOC2020</v>
      </c>
    </row>
    <row r="301" spans="1:7" x14ac:dyDescent="0.35">
      <c r="A301">
        <v>5250</v>
      </c>
      <c r="B301" t="str">
        <f>IF(F301=2020,INDEX(SOC2020_Structure!E:E,MATCH(sectorLookup!A301,SOC2020_Structure!D:D,0)),INDEX(SOC2010_Structure!E:E,MATCH(sectorLookup!A301,SOC2010_Structure!D:D,0)))</f>
        <v>Skilled metal, electrical and electronic trades supervisors</v>
      </c>
      <c r="C301" t="s">
        <v>263</v>
      </c>
      <c r="D301" t="str">
        <f>INDEX('group info'!B:B,MATCH(sectorLookup!C301,'group info'!A:A,0))</f>
        <v>Green</v>
      </c>
      <c r="E301" t="s">
        <v>282</v>
      </c>
      <c r="F301">
        <v>2020</v>
      </c>
      <c r="G301" t="str">
        <f t="shared" si="4"/>
        <v>Green SOC2020</v>
      </c>
    </row>
    <row r="302" spans="1:7" x14ac:dyDescent="0.35">
      <c r="A302">
        <v>5242</v>
      </c>
      <c r="B302" t="str">
        <f>IF(F302=2020,INDEX(SOC2020_Structure!E:E,MATCH(sectorLookup!A302,SOC2020_Structure!D:D,0)),INDEX(SOC2010_Structure!E:E,MATCH(sectorLookup!A302,SOC2010_Structure!D:D,0)))</f>
        <v>Telecoms and related network installers and repairers</v>
      </c>
      <c r="C302" t="s">
        <v>263</v>
      </c>
      <c r="D302" t="str">
        <f>INDEX('group info'!B:B,MATCH(sectorLookup!C302,'group info'!A:A,0))</f>
        <v>Green</v>
      </c>
      <c r="E302" t="s">
        <v>282</v>
      </c>
      <c r="F302">
        <v>2020</v>
      </c>
      <c r="G302" t="str">
        <f t="shared" si="4"/>
        <v>Green SOC2020</v>
      </c>
    </row>
    <row r="303" spans="1:7" x14ac:dyDescent="0.35">
      <c r="A303">
        <v>4159</v>
      </c>
      <c r="B303" t="str">
        <f>IF(F303=2020,INDEX(SOC2020_Structure!E:E,MATCH(sectorLookup!A303,SOC2020_Structure!D:D,0)),INDEX(SOC2010_Structure!E:E,MATCH(sectorLookup!A303,SOC2010_Structure!D:D,0)))</f>
        <v>Other administrative occupations n.e.c.</v>
      </c>
      <c r="C303" t="s">
        <v>263</v>
      </c>
      <c r="D303" t="str">
        <f>INDEX('group info'!B:B,MATCH(sectorLookup!C303,'group info'!A:A,0))</f>
        <v>Green</v>
      </c>
      <c r="E303" t="s">
        <v>282</v>
      </c>
      <c r="F303">
        <v>2020</v>
      </c>
      <c r="G303" t="str">
        <f t="shared" si="4"/>
        <v>Green SOC2020</v>
      </c>
    </row>
    <row r="304" spans="1:7" x14ac:dyDescent="0.35">
      <c r="A304">
        <v>3131</v>
      </c>
      <c r="B304" t="str">
        <f>IF(F304=2020,INDEX(SOC2020_Structure!E:E,MATCH(sectorLookup!A304,SOC2020_Structure!D:D,0)),INDEX(SOC2010_Structure!E:E,MATCH(sectorLookup!A304,SOC2010_Structure!D:D,0)))</f>
        <v>IT operations technicians</v>
      </c>
      <c r="C304" t="s">
        <v>263</v>
      </c>
      <c r="D304" t="str">
        <f>INDEX('group info'!B:B,MATCH(sectorLookup!C304,'group info'!A:A,0))</f>
        <v>Green</v>
      </c>
      <c r="E304" t="s">
        <v>282</v>
      </c>
      <c r="F304">
        <v>2020</v>
      </c>
      <c r="G304" t="str">
        <f t="shared" si="4"/>
        <v>Green SOC2020</v>
      </c>
    </row>
    <row r="305" spans="1:7" x14ac:dyDescent="0.35">
      <c r="A305">
        <v>2142</v>
      </c>
      <c r="B305" t="str">
        <f>IF(F305=2020,INDEX(SOC2020_Structure!E:E,MATCH(sectorLookup!A305,SOC2020_Structure!D:D,0)),INDEX(SOC2010_Structure!E:E,MATCH(sectorLookup!A305,SOC2010_Structure!D:D,0)))</f>
        <v>Graphic and multimedia designers</v>
      </c>
      <c r="C305" t="s">
        <v>263</v>
      </c>
      <c r="D305" t="str">
        <f>INDEX('group info'!B:B,MATCH(sectorLookup!C305,'group info'!A:A,0))</f>
        <v>Green</v>
      </c>
      <c r="E305" t="s">
        <v>282</v>
      </c>
      <c r="F305">
        <v>2020</v>
      </c>
      <c r="G305" t="str">
        <f t="shared" si="4"/>
        <v>Green SOC2020</v>
      </c>
    </row>
    <row r="306" spans="1:7" x14ac:dyDescent="0.35">
      <c r="A306">
        <v>2112</v>
      </c>
      <c r="B306" t="str">
        <f>IF(F306=2020,INDEX(SOC2020_Structure!E:E,MATCH(sectorLookup!A306,SOC2020_Structure!D:D,0)),INDEX(SOC2010_Structure!E:E,MATCH(sectorLookup!A306,SOC2010_Structure!D:D,0)))</f>
        <v>Biological scientists</v>
      </c>
      <c r="C306" t="s">
        <v>263</v>
      </c>
      <c r="D306" t="str">
        <f>INDEX('group info'!B:B,MATCH(sectorLookup!C306,'group info'!A:A,0))</f>
        <v>Green</v>
      </c>
      <c r="E306" t="s">
        <v>282</v>
      </c>
      <c r="F306">
        <v>2020</v>
      </c>
      <c r="G306" t="str">
        <f t="shared" si="4"/>
        <v>Green SOC2020</v>
      </c>
    </row>
    <row r="307" spans="1:7" x14ac:dyDescent="0.35">
      <c r="A307">
        <v>1122</v>
      </c>
      <c r="B307" t="str">
        <f>IF(F307=2020,INDEX(SOC2020_Structure!E:E,MATCH(sectorLookup!A307,SOC2020_Structure!D:D,0)),INDEX(SOC2010_Structure!E:E,MATCH(sectorLookup!A307,SOC2010_Structure!D:D,0)))</f>
        <v>Production managers and directors in construction</v>
      </c>
      <c r="C307" t="s">
        <v>263</v>
      </c>
      <c r="D307" t="str">
        <f>INDEX('group info'!B:B,MATCH(sectorLookup!C307,'group info'!A:A,0))</f>
        <v>Green</v>
      </c>
      <c r="E307" t="s">
        <v>282</v>
      </c>
      <c r="F307">
        <v>2020</v>
      </c>
      <c r="G307" t="str">
        <f t="shared" si="4"/>
        <v>Green SOC2020</v>
      </c>
    </row>
    <row r="308" spans="1:7" x14ac:dyDescent="0.35">
      <c r="A308">
        <v>8234</v>
      </c>
      <c r="B308" t="str">
        <f>IF(F308=2020,INDEX(SOC2020_Structure!E:E,MATCH(sectorLookup!A308,SOC2020_Structure!D:D,0)),INDEX(SOC2010_Structure!E:E,MATCH(sectorLookup!A308,SOC2010_Structure!D:D,0)))</f>
        <v>Rail transport operatives</v>
      </c>
      <c r="C308" t="s">
        <v>263</v>
      </c>
      <c r="D308" t="str">
        <f>INDEX('group info'!B:B,MATCH(sectorLookup!C308,'group info'!A:A,0))</f>
        <v>Green</v>
      </c>
      <c r="E308" t="s">
        <v>282</v>
      </c>
      <c r="F308">
        <v>2020</v>
      </c>
      <c r="G308" t="str">
        <f t="shared" si="4"/>
        <v>Green SOC2020</v>
      </c>
    </row>
    <row r="309" spans="1:7" x14ac:dyDescent="0.35">
      <c r="A309">
        <v>8231</v>
      </c>
      <c r="B309" t="str">
        <f>IF(F309=2020,INDEX(SOC2020_Structure!E:E,MATCH(sectorLookup!A309,SOC2020_Structure!D:D,0)),INDEX(SOC2010_Structure!E:E,MATCH(sectorLookup!A309,SOC2010_Structure!D:D,0)))</f>
        <v>Train and tram drivers</v>
      </c>
      <c r="C309" t="s">
        <v>263</v>
      </c>
      <c r="D309" t="str">
        <f>INDEX('group info'!B:B,MATCH(sectorLookup!C309,'group info'!A:A,0))</f>
        <v>Green</v>
      </c>
      <c r="E309" t="s">
        <v>282</v>
      </c>
      <c r="F309">
        <v>2020</v>
      </c>
      <c r="G309" t="str">
        <f t="shared" si="4"/>
        <v>Green SOC2020</v>
      </c>
    </row>
    <row r="310" spans="1:7" x14ac:dyDescent="0.35">
      <c r="A310">
        <v>8212</v>
      </c>
      <c r="B310" t="str">
        <f>IF(F310=2020,INDEX(SOC2020_Structure!E:E,MATCH(sectorLookup!A310,SOC2020_Structure!D:D,0)),INDEX(SOC2010_Structure!E:E,MATCH(sectorLookup!A310,SOC2010_Structure!D:D,0)))</f>
        <v>Bus and coach drivers</v>
      </c>
      <c r="C310" t="s">
        <v>263</v>
      </c>
      <c r="D310" t="str">
        <f>INDEX('group info'!B:B,MATCH(sectorLookup!C310,'group info'!A:A,0))</f>
        <v>Green</v>
      </c>
      <c r="E310" t="s">
        <v>282</v>
      </c>
      <c r="F310">
        <v>2020</v>
      </c>
      <c r="G310" t="str">
        <f t="shared" si="4"/>
        <v>Green SOC2020</v>
      </c>
    </row>
    <row r="311" spans="1:7" x14ac:dyDescent="0.35">
      <c r="A311">
        <v>8153</v>
      </c>
      <c r="B311" t="str">
        <f>IF(F311=2020,INDEX(SOC2020_Structure!E:E,MATCH(sectorLookup!A311,SOC2020_Structure!D:D,0)),INDEX(SOC2010_Structure!E:E,MATCH(sectorLookup!A311,SOC2010_Structure!D:D,0)))</f>
        <v>Rail construction and maintenance operatives</v>
      </c>
      <c r="C311" t="s">
        <v>263</v>
      </c>
      <c r="D311" t="str">
        <f>INDEX('group info'!B:B,MATCH(sectorLookup!C311,'group info'!A:A,0))</f>
        <v>Green</v>
      </c>
      <c r="E311" t="s">
        <v>282</v>
      </c>
      <c r="F311">
        <v>2020</v>
      </c>
      <c r="G311" t="str">
        <f t="shared" si="4"/>
        <v>Green SOC2020</v>
      </c>
    </row>
    <row r="312" spans="1:7" x14ac:dyDescent="0.35">
      <c r="A312">
        <v>7219</v>
      </c>
      <c r="B312" t="str">
        <f>IF(F312=2020,INDEX(SOC2020_Structure!E:E,MATCH(sectorLookup!A312,SOC2020_Structure!D:D,0)),INDEX(SOC2010_Structure!E:E,MATCH(sectorLookup!A312,SOC2010_Structure!D:D,0)))</f>
        <v>Customer service occupations n.e.c.</v>
      </c>
      <c r="C312" t="s">
        <v>263</v>
      </c>
      <c r="D312" t="str">
        <f>INDEX('group info'!B:B,MATCH(sectorLookup!C312,'group info'!A:A,0))</f>
        <v>Green</v>
      </c>
      <c r="E312" t="s">
        <v>282</v>
      </c>
      <c r="F312">
        <v>2020</v>
      </c>
      <c r="G312" t="str">
        <f t="shared" si="4"/>
        <v>Green SOC2020</v>
      </c>
    </row>
    <row r="313" spans="1:7" x14ac:dyDescent="0.35">
      <c r="A313">
        <v>6214</v>
      </c>
      <c r="B313" t="str">
        <f>IF(F313=2020,INDEX(SOC2020_Structure!E:E,MATCH(sectorLookup!A313,SOC2020_Structure!D:D,0)),INDEX(SOC2010_Structure!E:E,MATCH(sectorLookup!A313,SOC2010_Structure!D:D,0)))</f>
        <v>Rail travel assistants</v>
      </c>
      <c r="C313" t="s">
        <v>263</v>
      </c>
      <c r="D313" t="str">
        <f>INDEX('group info'!B:B,MATCH(sectorLookup!C313,'group info'!A:A,0))</f>
        <v>Green</v>
      </c>
      <c r="E313" t="s">
        <v>282</v>
      </c>
      <c r="F313">
        <v>2020</v>
      </c>
      <c r="G313" t="str">
        <f t="shared" si="4"/>
        <v>Green SOC2020</v>
      </c>
    </row>
    <row r="314" spans="1:7" x14ac:dyDescent="0.35">
      <c r="A314">
        <v>5236</v>
      </c>
      <c r="B314" t="str">
        <f>IF(F314=2020,INDEX(SOC2020_Structure!E:E,MATCH(sectorLookup!A314,SOC2020_Structure!D:D,0)),INDEX(SOC2010_Structure!E:E,MATCH(sectorLookup!A314,SOC2010_Structure!D:D,0)))</f>
        <v>Rail and rolling stock builders and repairers</v>
      </c>
      <c r="C314" t="s">
        <v>263</v>
      </c>
      <c r="D314" t="str">
        <f>INDEX('group info'!B:B,MATCH(sectorLookup!C314,'group info'!A:A,0))</f>
        <v>Green</v>
      </c>
      <c r="E314" t="s">
        <v>282</v>
      </c>
      <c r="F314">
        <v>2020</v>
      </c>
      <c r="G314" t="str">
        <f t="shared" si="4"/>
        <v>Green SOC2020</v>
      </c>
    </row>
    <row r="315" spans="1:7" x14ac:dyDescent="0.35">
      <c r="A315">
        <v>2422</v>
      </c>
      <c r="B315" t="str">
        <f>IF(F315=2020,INDEX(SOC2020_Structure!E:E,MATCH(sectorLookup!A315,SOC2020_Structure!D:D,0)),INDEX(SOC2010_Structure!E:E,MATCH(sectorLookup!A315,SOC2010_Structure!D:D,0)))</f>
        <v>Finance and investment analysts and advisers</v>
      </c>
      <c r="C315" t="s">
        <v>263</v>
      </c>
      <c r="D315" t="str">
        <f>INDEX('group info'!B:B,MATCH(sectorLookup!C315,'group info'!A:A,0))</f>
        <v>Green</v>
      </c>
      <c r="E315" t="s">
        <v>282</v>
      </c>
      <c r="F315">
        <v>2020</v>
      </c>
      <c r="G315" t="str">
        <f t="shared" si="4"/>
        <v>Green SOC2020</v>
      </c>
    </row>
    <row r="316" spans="1:7" x14ac:dyDescent="0.35">
      <c r="A316">
        <v>2133</v>
      </c>
      <c r="B316" t="str">
        <f>IF(F316=2020,INDEX(SOC2020_Structure!E:E,MATCH(sectorLookup!A316,SOC2020_Structure!D:D,0)),INDEX(SOC2010_Structure!E:E,MATCH(sectorLookup!A316,SOC2010_Structure!D:D,0)))</f>
        <v>IT business analysts, architects and systems designers</v>
      </c>
      <c r="C316" t="s">
        <v>263</v>
      </c>
      <c r="D316" t="str">
        <f>INDEX('group info'!B:B,MATCH(sectorLookup!C316,'group info'!A:A,0))</f>
        <v>Green</v>
      </c>
      <c r="E316" t="s">
        <v>282</v>
      </c>
      <c r="F316">
        <v>2020</v>
      </c>
      <c r="G316" t="str">
        <f t="shared" si="4"/>
        <v>Green SOC2020</v>
      </c>
    </row>
    <row r="317" spans="1:7" x14ac:dyDescent="0.35">
      <c r="A317">
        <v>8211</v>
      </c>
      <c r="B317" t="str">
        <f>IF(F317=2020,INDEX(SOC2020_Structure!E:E,MATCH(sectorLookup!A317,SOC2020_Structure!D:D,0)),INDEX(SOC2010_Structure!E:E,MATCH(sectorLookup!A317,SOC2010_Structure!D:D,0)))</f>
        <v>Large goods vehicle drivers</v>
      </c>
      <c r="C317" t="s">
        <v>263</v>
      </c>
      <c r="D317" t="str">
        <f>INDEX('group info'!B:B,MATCH(sectorLookup!C317,'group info'!A:A,0))</f>
        <v>Green</v>
      </c>
      <c r="E317" t="s">
        <v>282</v>
      </c>
      <c r="F317">
        <v>2020</v>
      </c>
      <c r="G317" t="str">
        <f t="shared" si="4"/>
        <v>Green SOC2020</v>
      </c>
    </row>
    <row r="318" spans="1:7" x14ac:dyDescent="0.35">
      <c r="A318">
        <v>7111</v>
      </c>
      <c r="B318" t="str">
        <f>IF(F318=2020,INDEX(SOC2020_Structure!E:E,MATCH(sectorLookup!A318,SOC2020_Structure!D:D,0)),INDEX(SOC2010_Structure!E:E,MATCH(sectorLookup!A318,SOC2010_Structure!D:D,0)))</f>
        <v>Sales and retail assistants</v>
      </c>
      <c r="C318" t="s">
        <v>263</v>
      </c>
      <c r="D318" t="str">
        <f>INDEX('group info'!B:B,MATCH(sectorLookup!C318,'group info'!A:A,0))</f>
        <v>Green</v>
      </c>
      <c r="E318" t="s">
        <v>282</v>
      </c>
      <c r="F318">
        <v>2020</v>
      </c>
      <c r="G318" t="str">
        <f t="shared" si="4"/>
        <v>Green SOC2020</v>
      </c>
    </row>
    <row r="319" spans="1:7" x14ac:dyDescent="0.35">
      <c r="A319">
        <v>2433</v>
      </c>
      <c r="B319" t="str">
        <f>IF(F319=2020,INDEX(SOC2020_Structure!E:E,MATCH(sectorLookup!A319,SOC2020_Structure!D:D,0)),INDEX(SOC2010_Structure!E:E,MATCH(sectorLookup!A319,SOC2010_Structure!D:D,0)))</f>
        <v>Actuaries, economists and statisticians</v>
      </c>
      <c r="C319" t="s">
        <v>263</v>
      </c>
      <c r="D319" t="str">
        <f>INDEX('group info'!B:B,MATCH(sectorLookup!C319,'group info'!A:A,0))</f>
        <v>Green</v>
      </c>
      <c r="E319" t="s">
        <v>282</v>
      </c>
      <c r="F319">
        <v>2020</v>
      </c>
      <c r="G319" t="str">
        <f t="shared" si="4"/>
        <v>Green SOC2020</v>
      </c>
    </row>
    <row r="320" spans="1:7" x14ac:dyDescent="0.35">
      <c r="A320">
        <v>2115</v>
      </c>
      <c r="B320" t="str">
        <f>IF(F320=2020,INDEX(SOC2020_Structure!E:E,MATCH(sectorLookup!A320,SOC2020_Structure!D:D,0)),INDEX(SOC2010_Structure!E:E,MATCH(sectorLookup!A320,SOC2010_Structure!D:D,0)))</f>
        <v>Social and humanities scientists</v>
      </c>
      <c r="C320" t="s">
        <v>263</v>
      </c>
      <c r="D320" t="str">
        <f>INDEX('group info'!B:B,MATCH(sectorLookup!C320,'group info'!A:A,0))</f>
        <v>Green</v>
      </c>
      <c r="E320" t="s">
        <v>282</v>
      </c>
      <c r="F320">
        <v>2020</v>
      </c>
      <c r="G320" t="str">
        <f t="shared" si="4"/>
        <v>Green SOC2020</v>
      </c>
    </row>
    <row r="321" spans="1:7" x14ac:dyDescent="0.35">
      <c r="A321">
        <v>1257</v>
      </c>
      <c r="B321" t="str">
        <f>IF(F321=2020,INDEX(SOC2020_Structure!E:E,MATCH(sectorLookup!A321,SOC2020_Structure!D:D,0)),INDEX(SOC2010_Structure!E:E,MATCH(sectorLookup!A321,SOC2010_Structure!D:D,0)))</f>
        <v>Hire services managers and proprietors</v>
      </c>
      <c r="C321" t="s">
        <v>263</v>
      </c>
      <c r="D321" t="str">
        <f>INDEX('group info'!B:B,MATCH(sectorLookup!C321,'group info'!A:A,0))</f>
        <v>Green</v>
      </c>
      <c r="E321" t="s">
        <v>282</v>
      </c>
      <c r="F321">
        <v>2020</v>
      </c>
      <c r="G321" t="str">
        <f t="shared" si="4"/>
        <v>Green SOC2020</v>
      </c>
    </row>
    <row r="322" spans="1:7" x14ac:dyDescent="0.35">
      <c r="A322">
        <v>1121</v>
      </c>
      <c r="B322" t="str">
        <f>IF(F322=2020,INDEX(SOC2020_Structure!E:E,MATCH(sectorLookup!A322,SOC2020_Structure!D:D,0)),INDEX(SOC2010_Structure!E:E,MATCH(sectorLookup!A322,SOC2010_Structure!D:D,0)))</f>
        <v>Production managers and directors in manufacturing</v>
      </c>
      <c r="C322" t="s">
        <v>684</v>
      </c>
      <c r="D322" t="str">
        <f>INDEX('group info'!B:B,MATCH(sectorLookup!C322,'group info'!A:A,0))</f>
        <v>STEM plus medicine and health and other</v>
      </c>
      <c r="E322" t="s">
        <v>322</v>
      </c>
      <c r="F322">
        <v>2020</v>
      </c>
      <c r="G322" t="str">
        <f t="shared" si="4"/>
        <v>STEM plus medicine and health and other SOC2020</v>
      </c>
    </row>
    <row r="323" spans="1:7" x14ac:dyDescent="0.35">
      <c r="A323">
        <v>1122</v>
      </c>
      <c r="B323" t="str">
        <f>IF(F323=2020,INDEX(SOC2020_Structure!E:E,MATCH(sectorLookup!A323,SOC2020_Structure!D:D,0)),INDEX(SOC2010_Structure!E:E,MATCH(sectorLookup!A323,SOC2010_Structure!D:D,0)))</f>
        <v>Production managers and directors in construction</v>
      </c>
      <c r="C323" t="s">
        <v>684</v>
      </c>
      <c r="D323" t="str">
        <f>INDEX('group info'!B:B,MATCH(sectorLookup!C323,'group info'!A:A,0))</f>
        <v>STEM plus medicine and health and other</v>
      </c>
      <c r="E323" t="s">
        <v>322</v>
      </c>
      <c r="F323">
        <v>2020</v>
      </c>
      <c r="G323" t="str">
        <f t="shared" ref="G323:G386" si="5">D323&amp;" SOC"&amp;F323</f>
        <v>STEM plus medicine and health and other SOC2020</v>
      </c>
    </row>
    <row r="324" spans="1:7" x14ac:dyDescent="0.35">
      <c r="A324">
        <v>1123</v>
      </c>
      <c r="B324" t="str">
        <f>IF(F324=2020,INDEX(SOC2020_Structure!E:E,MATCH(sectorLookup!A324,SOC2020_Structure!D:D,0)),INDEX(SOC2010_Structure!E:E,MATCH(sectorLookup!A324,SOC2010_Structure!D:D,0)))</f>
        <v>Production managers and directors in mining and energy</v>
      </c>
      <c r="C324" t="s">
        <v>684</v>
      </c>
      <c r="D324" t="str">
        <f>INDEX('group info'!B:B,MATCH(sectorLookup!C324,'group info'!A:A,0))</f>
        <v>STEM plus medicine and health and other</v>
      </c>
      <c r="E324" t="s">
        <v>322</v>
      </c>
      <c r="F324">
        <v>2020</v>
      </c>
      <c r="G324" t="str">
        <f t="shared" si="5"/>
        <v>STEM plus medicine and health and other SOC2020</v>
      </c>
    </row>
    <row r="325" spans="1:7" x14ac:dyDescent="0.35">
      <c r="A325">
        <v>1137</v>
      </c>
      <c r="B325" t="str">
        <f>IF(F325=2020,INDEX(SOC2020_Structure!E:E,MATCH(sectorLookup!A325,SOC2020_Structure!D:D,0)),INDEX(SOC2010_Structure!E:E,MATCH(sectorLookup!A325,SOC2010_Structure!D:D,0)))</f>
        <v>Information technology managers directors</v>
      </c>
      <c r="C325" t="s">
        <v>684</v>
      </c>
      <c r="D325" t="str">
        <f>INDEX('group info'!B:B,MATCH(sectorLookup!C325,'group info'!A:A,0))</f>
        <v>STEM plus medicine and health and other</v>
      </c>
      <c r="E325" t="s">
        <v>322</v>
      </c>
      <c r="F325">
        <v>2020</v>
      </c>
      <c r="G325" t="str">
        <f t="shared" si="5"/>
        <v>STEM plus medicine and health and other SOC2020</v>
      </c>
    </row>
    <row r="326" spans="1:7" x14ac:dyDescent="0.35">
      <c r="A326">
        <v>1161</v>
      </c>
      <c r="B326" t="str">
        <f>IF(F326=2020,INDEX(SOC2020_Structure!E:E,MATCH(sectorLookup!A326,SOC2020_Structure!D:D,0)),INDEX(SOC2010_Structure!E:E,MATCH(sectorLookup!A326,SOC2010_Structure!D:D,0)))</f>
        <v>Officers in armed forces</v>
      </c>
      <c r="C326" t="s">
        <v>684</v>
      </c>
      <c r="D326" t="str">
        <f>INDEX('group info'!B:B,MATCH(sectorLookup!C326,'group info'!A:A,0))</f>
        <v>STEM plus medicine and health and other</v>
      </c>
      <c r="E326" t="s">
        <v>322</v>
      </c>
      <c r="F326">
        <v>2020</v>
      </c>
      <c r="G326" t="str">
        <f t="shared" si="5"/>
        <v>STEM plus medicine and health and other SOC2020</v>
      </c>
    </row>
    <row r="327" spans="1:7" x14ac:dyDescent="0.35">
      <c r="A327">
        <v>1171</v>
      </c>
      <c r="B327" t="str">
        <f>IF(F327=2020,INDEX(SOC2020_Structure!E:E,MATCH(sectorLookup!A327,SOC2020_Structure!D:D,0)),INDEX(SOC2010_Structure!E:E,MATCH(sectorLookup!A327,SOC2010_Structure!D:D,0)))</f>
        <v>Health services and public health managers and directors</v>
      </c>
      <c r="C327" t="s">
        <v>684</v>
      </c>
      <c r="D327" t="str">
        <f>INDEX('group info'!B:B,MATCH(sectorLookup!C327,'group info'!A:A,0))</f>
        <v>STEM plus medicine and health and other</v>
      </c>
      <c r="E327" t="s">
        <v>322</v>
      </c>
      <c r="F327">
        <v>2020</v>
      </c>
      <c r="G327" t="str">
        <f t="shared" si="5"/>
        <v>STEM plus medicine and health and other SOC2020</v>
      </c>
    </row>
    <row r="328" spans="1:7" x14ac:dyDescent="0.35">
      <c r="A328">
        <v>1211</v>
      </c>
      <c r="B328" t="str">
        <f>IF(F328=2020,INDEX(SOC2020_Structure!E:E,MATCH(sectorLookup!A328,SOC2020_Structure!D:D,0)),INDEX(SOC2010_Structure!E:E,MATCH(sectorLookup!A328,SOC2010_Structure!D:D,0)))</f>
        <v>Managers and proprietors in agriculture and horticulture</v>
      </c>
      <c r="C328" t="s">
        <v>684</v>
      </c>
      <c r="D328" t="str">
        <f>INDEX('group info'!B:B,MATCH(sectorLookup!C328,'group info'!A:A,0))</f>
        <v>STEM plus medicine and health and other</v>
      </c>
      <c r="E328" t="s">
        <v>322</v>
      </c>
      <c r="F328">
        <v>2020</v>
      </c>
      <c r="G328" t="str">
        <f t="shared" si="5"/>
        <v>STEM plus medicine and health and other SOC2020</v>
      </c>
    </row>
    <row r="329" spans="1:7" x14ac:dyDescent="0.35">
      <c r="A329">
        <v>1231</v>
      </c>
      <c r="B329" t="str">
        <f>IF(F329=2020,INDEX(SOC2020_Structure!E:E,MATCH(sectorLookup!A329,SOC2020_Structure!D:D,0)),INDEX(SOC2010_Structure!E:E,MATCH(sectorLookup!A329,SOC2010_Structure!D:D,0)))</f>
        <v>Health care practice managers</v>
      </c>
      <c r="C329" t="s">
        <v>684</v>
      </c>
      <c r="D329" t="str">
        <f>INDEX('group info'!B:B,MATCH(sectorLookup!C329,'group info'!A:A,0))</f>
        <v>STEM plus medicine and health and other</v>
      </c>
      <c r="E329" t="s">
        <v>322</v>
      </c>
      <c r="F329">
        <v>2020</v>
      </c>
      <c r="G329" t="str">
        <f t="shared" si="5"/>
        <v>STEM plus medicine and health and other SOC2020</v>
      </c>
    </row>
    <row r="330" spans="1:7" x14ac:dyDescent="0.35">
      <c r="A330">
        <v>1254</v>
      </c>
      <c r="B330" t="str">
        <f>IF(F330=2020,INDEX(SOC2020_Structure!E:E,MATCH(sectorLookup!A330,SOC2020_Structure!D:D,0)),INDEX(SOC2010_Structure!E:E,MATCH(sectorLookup!A330,SOC2010_Structure!D:D,0)))</f>
        <v>Waste disposal and environmental services managers</v>
      </c>
      <c r="C330" t="s">
        <v>684</v>
      </c>
      <c r="D330" t="str">
        <f>INDEX('group info'!B:B,MATCH(sectorLookup!C330,'group info'!A:A,0))</f>
        <v>STEM plus medicine and health and other</v>
      </c>
      <c r="E330" t="s">
        <v>322</v>
      </c>
      <c r="F330">
        <v>2020</v>
      </c>
      <c r="G330" t="str">
        <f t="shared" si="5"/>
        <v>STEM plus medicine and health and other SOC2020</v>
      </c>
    </row>
    <row r="331" spans="1:7" x14ac:dyDescent="0.35">
      <c r="A331">
        <v>2111</v>
      </c>
      <c r="B331" t="str">
        <f>IF(F331=2020,INDEX(SOC2020_Structure!E:E,MATCH(sectorLookup!A331,SOC2020_Structure!D:D,0)),INDEX(SOC2010_Structure!E:E,MATCH(sectorLookup!A331,SOC2010_Structure!D:D,0)))</f>
        <v>Chemical scientists</v>
      </c>
      <c r="C331" t="s">
        <v>684</v>
      </c>
      <c r="D331" t="str">
        <f>INDEX('group info'!B:B,MATCH(sectorLookup!C331,'group info'!A:A,0))</f>
        <v>STEM plus medicine and health and other</v>
      </c>
      <c r="E331" t="s">
        <v>322</v>
      </c>
      <c r="F331">
        <v>2020</v>
      </c>
      <c r="G331" t="str">
        <f t="shared" si="5"/>
        <v>STEM plus medicine and health and other SOC2020</v>
      </c>
    </row>
    <row r="332" spans="1:7" x14ac:dyDescent="0.35">
      <c r="A332">
        <v>2112</v>
      </c>
      <c r="B332" t="str">
        <f>IF(F332=2020,INDEX(SOC2020_Structure!E:E,MATCH(sectorLookup!A332,SOC2020_Structure!D:D,0)),INDEX(SOC2010_Structure!E:E,MATCH(sectorLookup!A332,SOC2010_Structure!D:D,0)))</f>
        <v>Biological scientists</v>
      </c>
      <c r="C332" t="s">
        <v>684</v>
      </c>
      <c r="D332" t="str">
        <f>INDEX('group info'!B:B,MATCH(sectorLookup!C332,'group info'!A:A,0))</f>
        <v>STEM plus medicine and health and other</v>
      </c>
      <c r="E332" t="s">
        <v>322</v>
      </c>
      <c r="F332">
        <v>2020</v>
      </c>
      <c r="G332" t="str">
        <f t="shared" si="5"/>
        <v>STEM plus medicine and health and other SOC2020</v>
      </c>
    </row>
    <row r="333" spans="1:7" x14ac:dyDescent="0.35">
      <c r="A333">
        <v>2113</v>
      </c>
      <c r="B333" t="str">
        <f>IF(F333=2020,INDEX(SOC2020_Structure!E:E,MATCH(sectorLookup!A333,SOC2020_Structure!D:D,0)),INDEX(SOC2010_Structure!E:E,MATCH(sectorLookup!A333,SOC2010_Structure!D:D,0)))</f>
        <v>Biochemists and biomedical scientists</v>
      </c>
      <c r="C333" t="s">
        <v>684</v>
      </c>
      <c r="D333" t="str">
        <f>INDEX('group info'!B:B,MATCH(sectorLookup!C333,'group info'!A:A,0))</f>
        <v>STEM plus medicine and health and other</v>
      </c>
      <c r="E333" t="s">
        <v>322</v>
      </c>
      <c r="F333">
        <v>2020</v>
      </c>
      <c r="G333" t="str">
        <f t="shared" si="5"/>
        <v>STEM plus medicine and health and other SOC2020</v>
      </c>
    </row>
    <row r="334" spans="1:7" x14ac:dyDescent="0.35">
      <c r="A334">
        <v>2114</v>
      </c>
      <c r="B334" t="str">
        <f>IF(F334=2020,INDEX(SOC2020_Structure!E:E,MATCH(sectorLookup!A334,SOC2020_Structure!D:D,0)),INDEX(SOC2010_Structure!E:E,MATCH(sectorLookup!A334,SOC2010_Structure!D:D,0)))</f>
        <v>Physical scientists</v>
      </c>
      <c r="C334" t="s">
        <v>684</v>
      </c>
      <c r="D334" t="str">
        <f>INDEX('group info'!B:B,MATCH(sectorLookup!C334,'group info'!A:A,0))</f>
        <v>STEM plus medicine and health and other</v>
      </c>
      <c r="E334" t="s">
        <v>322</v>
      </c>
      <c r="F334">
        <v>2020</v>
      </c>
      <c r="G334" t="str">
        <f t="shared" si="5"/>
        <v>STEM plus medicine and health and other SOC2020</v>
      </c>
    </row>
    <row r="335" spans="1:7" x14ac:dyDescent="0.35">
      <c r="A335">
        <v>2115</v>
      </c>
      <c r="B335" t="str">
        <f>IF(F335=2020,INDEX(SOC2020_Structure!E:E,MATCH(sectorLookup!A335,SOC2020_Structure!D:D,0)),INDEX(SOC2010_Structure!E:E,MATCH(sectorLookup!A335,SOC2010_Structure!D:D,0)))</f>
        <v>Social and humanities scientists</v>
      </c>
      <c r="C335" t="s">
        <v>684</v>
      </c>
      <c r="D335" t="str">
        <f>INDEX('group info'!B:B,MATCH(sectorLookup!C335,'group info'!A:A,0))</f>
        <v>STEM plus medicine and health and other</v>
      </c>
      <c r="E335" t="s">
        <v>322</v>
      </c>
      <c r="F335">
        <v>2020</v>
      </c>
      <c r="G335" t="str">
        <f t="shared" si="5"/>
        <v>STEM plus medicine and health and other SOC2020</v>
      </c>
    </row>
    <row r="336" spans="1:7" x14ac:dyDescent="0.35">
      <c r="A336">
        <v>2119</v>
      </c>
      <c r="B336" t="str">
        <f>IF(F336=2020,INDEX(SOC2020_Structure!E:E,MATCH(sectorLookup!A336,SOC2020_Structure!D:D,0)),INDEX(SOC2010_Structure!E:E,MATCH(sectorLookup!A336,SOC2010_Structure!D:D,0)))</f>
        <v>Natural and social science professionals n.e.c.</v>
      </c>
      <c r="C336" t="s">
        <v>684</v>
      </c>
      <c r="D336" t="str">
        <f>INDEX('group info'!B:B,MATCH(sectorLookup!C336,'group info'!A:A,0))</f>
        <v>STEM plus medicine and health and other</v>
      </c>
      <c r="E336" t="s">
        <v>322</v>
      </c>
      <c r="F336">
        <v>2020</v>
      </c>
      <c r="G336" t="str">
        <f t="shared" si="5"/>
        <v>STEM plus medicine and health and other SOC2020</v>
      </c>
    </row>
    <row r="337" spans="1:7" x14ac:dyDescent="0.35">
      <c r="A337">
        <v>2121</v>
      </c>
      <c r="B337" t="str">
        <f>IF(F337=2020,INDEX(SOC2020_Structure!E:E,MATCH(sectorLookup!A337,SOC2020_Structure!D:D,0)),INDEX(SOC2010_Structure!E:E,MATCH(sectorLookup!A337,SOC2010_Structure!D:D,0)))</f>
        <v>Civil engineers</v>
      </c>
      <c r="C337" t="s">
        <v>684</v>
      </c>
      <c r="D337" t="str">
        <f>INDEX('group info'!B:B,MATCH(sectorLookup!C337,'group info'!A:A,0))</f>
        <v>STEM plus medicine and health and other</v>
      </c>
      <c r="E337" t="s">
        <v>322</v>
      </c>
      <c r="F337">
        <v>2020</v>
      </c>
      <c r="G337" t="str">
        <f t="shared" si="5"/>
        <v>STEM plus medicine and health and other SOC2020</v>
      </c>
    </row>
    <row r="338" spans="1:7" x14ac:dyDescent="0.35">
      <c r="A338">
        <v>2122</v>
      </c>
      <c r="B338" t="str">
        <f>IF(F338=2020,INDEX(SOC2020_Structure!E:E,MATCH(sectorLookup!A338,SOC2020_Structure!D:D,0)),INDEX(SOC2010_Structure!E:E,MATCH(sectorLookup!A338,SOC2010_Structure!D:D,0)))</f>
        <v>Mechanical engineers</v>
      </c>
      <c r="C338" t="s">
        <v>684</v>
      </c>
      <c r="D338" t="str">
        <f>INDEX('group info'!B:B,MATCH(sectorLookup!C338,'group info'!A:A,0))</f>
        <v>STEM plus medicine and health and other</v>
      </c>
      <c r="E338" t="s">
        <v>322</v>
      </c>
      <c r="F338">
        <v>2020</v>
      </c>
      <c r="G338" t="str">
        <f t="shared" si="5"/>
        <v>STEM plus medicine and health and other SOC2020</v>
      </c>
    </row>
    <row r="339" spans="1:7" x14ac:dyDescent="0.35">
      <c r="A339">
        <v>2123</v>
      </c>
      <c r="B339" t="str">
        <f>IF(F339=2020,INDEX(SOC2020_Structure!E:E,MATCH(sectorLookup!A339,SOC2020_Structure!D:D,0)),INDEX(SOC2010_Structure!E:E,MATCH(sectorLookup!A339,SOC2010_Structure!D:D,0)))</f>
        <v>Electrical engineers</v>
      </c>
      <c r="C339" t="s">
        <v>684</v>
      </c>
      <c r="D339" t="str">
        <f>INDEX('group info'!B:B,MATCH(sectorLookup!C339,'group info'!A:A,0))</f>
        <v>STEM plus medicine and health and other</v>
      </c>
      <c r="E339" t="s">
        <v>322</v>
      </c>
      <c r="F339">
        <v>2020</v>
      </c>
      <c r="G339" t="str">
        <f t="shared" si="5"/>
        <v>STEM plus medicine and health and other SOC2020</v>
      </c>
    </row>
    <row r="340" spans="1:7" x14ac:dyDescent="0.35">
      <c r="A340">
        <v>2124</v>
      </c>
      <c r="B340" t="str">
        <f>IF(F340=2020,INDEX(SOC2020_Structure!E:E,MATCH(sectorLookup!A340,SOC2020_Structure!D:D,0)),INDEX(SOC2010_Structure!E:E,MATCH(sectorLookup!A340,SOC2010_Structure!D:D,0)))</f>
        <v>Electronics engineers</v>
      </c>
      <c r="C340" t="s">
        <v>684</v>
      </c>
      <c r="D340" t="str">
        <f>INDEX('group info'!B:B,MATCH(sectorLookup!C340,'group info'!A:A,0))</f>
        <v>STEM plus medicine and health and other</v>
      </c>
      <c r="E340" t="s">
        <v>322</v>
      </c>
      <c r="F340">
        <v>2020</v>
      </c>
      <c r="G340" t="str">
        <f t="shared" si="5"/>
        <v>STEM plus medicine and health and other SOC2020</v>
      </c>
    </row>
    <row r="341" spans="1:7" x14ac:dyDescent="0.35">
      <c r="A341">
        <v>2125</v>
      </c>
      <c r="B341" t="str">
        <f>IF(F341=2020,INDEX(SOC2020_Structure!E:E,MATCH(sectorLookup!A341,SOC2020_Structure!D:D,0)),INDEX(SOC2010_Structure!E:E,MATCH(sectorLookup!A341,SOC2010_Structure!D:D,0)))</f>
        <v>Production and process engineers</v>
      </c>
      <c r="C341" t="s">
        <v>684</v>
      </c>
      <c r="D341" t="str">
        <f>INDEX('group info'!B:B,MATCH(sectorLookup!C341,'group info'!A:A,0))</f>
        <v>STEM plus medicine and health and other</v>
      </c>
      <c r="E341" t="s">
        <v>322</v>
      </c>
      <c r="F341">
        <v>2020</v>
      </c>
      <c r="G341" t="str">
        <f t="shared" si="5"/>
        <v>STEM plus medicine and health and other SOC2020</v>
      </c>
    </row>
    <row r="342" spans="1:7" x14ac:dyDescent="0.35">
      <c r="A342">
        <v>2126</v>
      </c>
      <c r="B342" t="str">
        <f>IF(F342=2020,INDEX(SOC2020_Structure!E:E,MATCH(sectorLookup!A342,SOC2020_Structure!D:D,0)),INDEX(SOC2010_Structure!E:E,MATCH(sectorLookup!A342,SOC2010_Structure!D:D,0)))</f>
        <v>Aerospace engineers</v>
      </c>
      <c r="C342" t="s">
        <v>684</v>
      </c>
      <c r="D342" t="str">
        <f>INDEX('group info'!B:B,MATCH(sectorLookup!C342,'group info'!A:A,0))</f>
        <v>STEM plus medicine and health and other</v>
      </c>
      <c r="E342" t="s">
        <v>322</v>
      </c>
      <c r="F342">
        <v>2020</v>
      </c>
      <c r="G342" t="str">
        <f t="shared" si="5"/>
        <v>STEM plus medicine and health and other SOC2020</v>
      </c>
    </row>
    <row r="343" spans="1:7" x14ac:dyDescent="0.35">
      <c r="A343">
        <v>2127</v>
      </c>
      <c r="B343" t="str">
        <f>IF(F343=2020,INDEX(SOC2020_Structure!E:E,MATCH(sectorLookup!A343,SOC2020_Structure!D:D,0)),INDEX(SOC2010_Structure!E:E,MATCH(sectorLookup!A343,SOC2010_Structure!D:D,0)))</f>
        <v>Engineering project managers and project engineers</v>
      </c>
      <c r="C343" t="s">
        <v>684</v>
      </c>
      <c r="D343" t="str">
        <f>INDEX('group info'!B:B,MATCH(sectorLookup!C343,'group info'!A:A,0))</f>
        <v>STEM plus medicine and health and other</v>
      </c>
      <c r="E343" t="s">
        <v>322</v>
      </c>
      <c r="F343">
        <v>2020</v>
      </c>
      <c r="G343" t="str">
        <f t="shared" si="5"/>
        <v>STEM plus medicine and health and other SOC2020</v>
      </c>
    </row>
    <row r="344" spans="1:7" x14ac:dyDescent="0.35">
      <c r="A344">
        <v>2129</v>
      </c>
      <c r="B344" t="str">
        <f>IF(F344=2020,INDEX(SOC2020_Structure!E:E,MATCH(sectorLookup!A344,SOC2020_Structure!D:D,0)),INDEX(SOC2010_Structure!E:E,MATCH(sectorLookup!A344,SOC2010_Structure!D:D,0)))</f>
        <v>Engineering professionals n.e.c.</v>
      </c>
      <c r="C344" t="s">
        <v>684</v>
      </c>
      <c r="D344" t="str">
        <f>INDEX('group info'!B:B,MATCH(sectorLookup!C344,'group info'!A:A,0))</f>
        <v>STEM plus medicine and health and other</v>
      </c>
      <c r="E344" t="s">
        <v>322</v>
      </c>
      <c r="F344">
        <v>2020</v>
      </c>
      <c r="G344" t="str">
        <f t="shared" si="5"/>
        <v>STEM plus medicine and health and other SOC2020</v>
      </c>
    </row>
    <row r="345" spans="1:7" x14ac:dyDescent="0.35">
      <c r="A345">
        <v>2131</v>
      </c>
      <c r="B345" t="str">
        <f>IF(F345=2020,INDEX(SOC2020_Structure!E:E,MATCH(sectorLookup!A345,SOC2020_Structure!D:D,0)),INDEX(SOC2010_Structure!E:E,MATCH(sectorLookup!A345,SOC2010_Structure!D:D,0)))</f>
        <v>IT project managers</v>
      </c>
      <c r="C345" t="s">
        <v>684</v>
      </c>
      <c r="D345" t="str">
        <f>INDEX('group info'!B:B,MATCH(sectorLookup!C345,'group info'!A:A,0))</f>
        <v>STEM plus medicine and health and other</v>
      </c>
      <c r="E345" t="s">
        <v>322</v>
      </c>
      <c r="F345">
        <v>2020</v>
      </c>
      <c r="G345" t="str">
        <f t="shared" si="5"/>
        <v>STEM plus medicine and health and other SOC2020</v>
      </c>
    </row>
    <row r="346" spans="1:7" x14ac:dyDescent="0.35">
      <c r="A346">
        <v>2132</v>
      </c>
      <c r="B346" t="str">
        <f>IF(F346=2020,INDEX(SOC2020_Structure!E:E,MATCH(sectorLookup!A346,SOC2020_Structure!D:D,0)),INDEX(SOC2010_Structure!E:E,MATCH(sectorLookup!A346,SOC2010_Structure!D:D,0)))</f>
        <v>IT managers</v>
      </c>
      <c r="C346" t="s">
        <v>684</v>
      </c>
      <c r="D346" t="str">
        <f>INDEX('group info'!B:B,MATCH(sectorLookup!C346,'group info'!A:A,0))</f>
        <v>STEM plus medicine and health and other</v>
      </c>
      <c r="E346" t="s">
        <v>322</v>
      </c>
      <c r="F346">
        <v>2020</v>
      </c>
      <c r="G346" t="str">
        <f t="shared" si="5"/>
        <v>STEM plus medicine and health and other SOC2020</v>
      </c>
    </row>
    <row r="347" spans="1:7" x14ac:dyDescent="0.35">
      <c r="A347">
        <v>2133</v>
      </c>
      <c r="B347" t="str">
        <f>IF(F347=2020,INDEX(SOC2020_Structure!E:E,MATCH(sectorLookup!A347,SOC2020_Structure!D:D,0)),INDEX(SOC2010_Structure!E:E,MATCH(sectorLookup!A347,SOC2010_Structure!D:D,0)))</f>
        <v>IT business analysts, architects and systems designers</v>
      </c>
      <c r="C347" t="s">
        <v>684</v>
      </c>
      <c r="D347" t="str">
        <f>INDEX('group info'!B:B,MATCH(sectorLookup!C347,'group info'!A:A,0))</f>
        <v>STEM plus medicine and health and other</v>
      </c>
      <c r="E347" t="s">
        <v>322</v>
      </c>
      <c r="F347">
        <v>2020</v>
      </c>
      <c r="G347" t="str">
        <f t="shared" si="5"/>
        <v>STEM plus medicine and health and other SOC2020</v>
      </c>
    </row>
    <row r="348" spans="1:7" x14ac:dyDescent="0.35">
      <c r="A348">
        <v>2134</v>
      </c>
      <c r="B348" t="str">
        <f>IF(F348=2020,INDEX(SOC2020_Structure!E:E,MATCH(sectorLookup!A348,SOC2020_Structure!D:D,0)),INDEX(SOC2010_Structure!E:E,MATCH(sectorLookup!A348,SOC2010_Structure!D:D,0)))</f>
        <v>Programmers and software development professionals</v>
      </c>
      <c r="C348" t="s">
        <v>684</v>
      </c>
      <c r="D348" t="str">
        <f>INDEX('group info'!B:B,MATCH(sectorLookup!C348,'group info'!A:A,0))</f>
        <v>STEM plus medicine and health and other</v>
      </c>
      <c r="E348" t="s">
        <v>322</v>
      </c>
      <c r="F348">
        <v>2020</v>
      </c>
      <c r="G348" t="str">
        <f t="shared" si="5"/>
        <v>STEM plus medicine and health and other SOC2020</v>
      </c>
    </row>
    <row r="349" spans="1:7" x14ac:dyDescent="0.35">
      <c r="A349">
        <v>2135</v>
      </c>
      <c r="B349" t="str">
        <f>IF(F349=2020,INDEX(SOC2020_Structure!E:E,MATCH(sectorLookup!A349,SOC2020_Structure!D:D,0)),INDEX(SOC2010_Structure!E:E,MATCH(sectorLookup!A349,SOC2010_Structure!D:D,0)))</f>
        <v>Cyber security professionals</v>
      </c>
      <c r="C349" t="s">
        <v>684</v>
      </c>
      <c r="D349" t="str">
        <f>INDEX('group info'!B:B,MATCH(sectorLookup!C349,'group info'!A:A,0))</f>
        <v>STEM plus medicine and health and other</v>
      </c>
      <c r="E349" t="s">
        <v>322</v>
      </c>
      <c r="F349">
        <v>2020</v>
      </c>
      <c r="G349" t="str">
        <f t="shared" si="5"/>
        <v>STEM plus medicine and health and other SOC2020</v>
      </c>
    </row>
    <row r="350" spans="1:7" x14ac:dyDescent="0.35">
      <c r="A350">
        <v>2136</v>
      </c>
      <c r="B350" t="str">
        <f>IF(F350=2020,INDEX(SOC2020_Structure!E:E,MATCH(sectorLookup!A350,SOC2020_Structure!D:D,0)),INDEX(SOC2010_Structure!E:E,MATCH(sectorLookup!A350,SOC2010_Structure!D:D,0)))</f>
        <v>IT quality and testing professionals</v>
      </c>
      <c r="C350" t="s">
        <v>684</v>
      </c>
      <c r="D350" t="str">
        <f>INDEX('group info'!B:B,MATCH(sectorLookup!C350,'group info'!A:A,0))</f>
        <v>STEM plus medicine and health and other</v>
      </c>
      <c r="E350" t="s">
        <v>322</v>
      </c>
      <c r="F350">
        <v>2020</v>
      </c>
      <c r="G350" t="str">
        <f t="shared" si="5"/>
        <v>STEM plus medicine and health and other SOC2020</v>
      </c>
    </row>
    <row r="351" spans="1:7" x14ac:dyDescent="0.35">
      <c r="A351">
        <v>2137</v>
      </c>
      <c r="B351" t="str">
        <f>IF(F351=2020,INDEX(SOC2020_Structure!E:E,MATCH(sectorLookup!A351,SOC2020_Structure!D:D,0)),INDEX(SOC2010_Structure!E:E,MATCH(sectorLookup!A351,SOC2010_Structure!D:D,0)))</f>
        <v>IT network professionals</v>
      </c>
      <c r="C351" t="s">
        <v>684</v>
      </c>
      <c r="D351" t="str">
        <f>INDEX('group info'!B:B,MATCH(sectorLookup!C351,'group info'!A:A,0))</f>
        <v>STEM plus medicine and health and other</v>
      </c>
      <c r="E351" t="s">
        <v>322</v>
      </c>
      <c r="F351">
        <v>2020</v>
      </c>
      <c r="G351" t="str">
        <f t="shared" si="5"/>
        <v>STEM plus medicine and health and other SOC2020</v>
      </c>
    </row>
    <row r="352" spans="1:7" x14ac:dyDescent="0.35">
      <c r="A352">
        <v>2139</v>
      </c>
      <c r="B352" t="str">
        <f>IF(F352=2020,INDEX(SOC2020_Structure!E:E,MATCH(sectorLookup!A352,SOC2020_Structure!D:D,0)),INDEX(SOC2010_Structure!E:E,MATCH(sectorLookup!A352,SOC2010_Structure!D:D,0)))</f>
        <v>Information technology professionals n.e.c.</v>
      </c>
      <c r="C352" t="s">
        <v>684</v>
      </c>
      <c r="D352" t="str">
        <f>INDEX('group info'!B:B,MATCH(sectorLookup!C352,'group info'!A:A,0))</f>
        <v>STEM plus medicine and health and other</v>
      </c>
      <c r="E352" t="s">
        <v>322</v>
      </c>
      <c r="F352">
        <v>2020</v>
      </c>
      <c r="G352" t="str">
        <f t="shared" si="5"/>
        <v>STEM plus medicine and health and other SOC2020</v>
      </c>
    </row>
    <row r="353" spans="1:7" x14ac:dyDescent="0.35">
      <c r="A353">
        <v>2142</v>
      </c>
      <c r="B353" t="str">
        <f>IF(F353=2020,INDEX(SOC2020_Structure!E:E,MATCH(sectorLookup!A353,SOC2020_Structure!D:D,0)),INDEX(SOC2010_Structure!E:E,MATCH(sectorLookup!A353,SOC2010_Structure!D:D,0)))</f>
        <v>Graphic and multimedia designers</v>
      </c>
      <c r="C353" t="s">
        <v>684</v>
      </c>
      <c r="D353" t="str">
        <f>INDEX('group info'!B:B,MATCH(sectorLookup!C353,'group info'!A:A,0))</f>
        <v>STEM plus medicine and health and other</v>
      </c>
      <c r="E353" t="s">
        <v>322</v>
      </c>
      <c r="F353">
        <v>2020</v>
      </c>
      <c r="G353" t="str">
        <f t="shared" si="5"/>
        <v>STEM plus medicine and health and other SOC2020</v>
      </c>
    </row>
    <row r="354" spans="1:7" x14ac:dyDescent="0.35">
      <c r="A354">
        <v>2151</v>
      </c>
      <c r="B354" t="str">
        <f>IF(F354=2020,INDEX(SOC2020_Structure!E:E,MATCH(sectorLookup!A354,SOC2020_Structure!D:D,0)),INDEX(SOC2010_Structure!E:E,MATCH(sectorLookup!A354,SOC2010_Structure!D:D,0)))</f>
        <v>Conservation professionals</v>
      </c>
      <c r="C354" t="s">
        <v>684</v>
      </c>
      <c r="D354" t="str">
        <f>INDEX('group info'!B:B,MATCH(sectorLookup!C354,'group info'!A:A,0))</f>
        <v>STEM plus medicine and health and other</v>
      </c>
      <c r="E354" t="s">
        <v>322</v>
      </c>
      <c r="F354">
        <v>2020</v>
      </c>
      <c r="G354" t="str">
        <f t="shared" si="5"/>
        <v>STEM plus medicine and health and other SOC2020</v>
      </c>
    </row>
    <row r="355" spans="1:7" x14ac:dyDescent="0.35">
      <c r="A355">
        <v>2152</v>
      </c>
      <c r="B355" t="str">
        <f>IF(F355=2020,INDEX(SOC2020_Structure!E:E,MATCH(sectorLookup!A355,SOC2020_Structure!D:D,0)),INDEX(SOC2010_Structure!E:E,MATCH(sectorLookup!A355,SOC2010_Structure!D:D,0)))</f>
        <v>Environment professionals</v>
      </c>
      <c r="C355" t="s">
        <v>684</v>
      </c>
      <c r="D355" t="str">
        <f>INDEX('group info'!B:B,MATCH(sectorLookup!C355,'group info'!A:A,0))</f>
        <v>STEM plus medicine and health and other</v>
      </c>
      <c r="E355" t="s">
        <v>322</v>
      </c>
      <c r="F355">
        <v>2020</v>
      </c>
      <c r="G355" t="str">
        <f t="shared" si="5"/>
        <v>STEM plus medicine and health and other SOC2020</v>
      </c>
    </row>
    <row r="356" spans="1:7" x14ac:dyDescent="0.35">
      <c r="A356">
        <v>2161</v>
      </c>
      <c r="B356" t="str">
        <f>IF(F356=2020,INDEX(SOC2020_Structure!E:E,MATCH(sectorLookup!A356,SOC2020_Structure!D:D,0)),INDEX(SOC2010_Structure!E:E,MATCH(sectorLookup!A356,SOC2010_Structure!D:D,0)))</f>
        <v>Research and development (R&amp;D) managers</v>
      </c>
      <c r="C356" t="s">
        <v>684</v>
      </c>
      <c r="D356" t="str">
        <f>INDEX('group info'!B:B,MATCH(sectorLookup!C356,'group info'!A:A,0))</f>
        <v>STEM plus medicine and health and other</v>
      </c>
      <c r="E356" t="s">
        <v>322</v>
      </c>
      <c r="F356">
        <v>2020</v>
      </c>
      <c r="G356" t="str">
        <f t="shared" si="5"/>
        <v>STEM plus medicine and health and other SOC2020</v>
      </c>
    </row>
    <row r="357" spans="1:7" x14ac:dyDescent="0.35">
      <c r="A357">
        <v>2162</v>
      </c>
      <c r="B357" t="str">
        <f>IF(F357=2020,INDEX(SOC2020_Structure!E:E,MATCH(sectorLookup!A357,SOC2020_Structure!D:D,0)),INDEX(SOC2010_Structure!E:E,MATCH(sectorLookup!A357,SOC2010_Structure!D:D,0)))</f>
        <v>Other researchers, unspecified discipline</v>
      </c>
      <c r="C357" t="s">
        <v>684</v>
      </c>
      <c r="D357" t="str">
        <f>INDEX('group info'!B:B,MATCH(sectorLookup!C357,'group info'!A:A,0))</f>
        <v>STEM plus medicine and health and other</v>
      </c>
      <c r="E357" t="s">
        <v>322</v>
      </c>
      <c r="F357">
        <v>2020</v>
      </c>
      <c r="G357" t="str">
        <f t="shared" si="5"/>
        <v>STEM plus medicine and health and other SOC2020</v>
      </c>
    </row>
    <row r="358" spans="1:7" x14ac:dyDescent="0.35">
      <c r="A358">
        <v>2211</v>
      </c>
      <c r="B358" t="str">
        <f>IF(F358=2020,INDEX(SOC2020_Structure!E:E,MATCH(sectorLookup!A358,SOC2020_Structure!D:D,0)),INDEX(SOC2010_Structure!E:E,MATCH(sectorLookup!A358,SOC2010_Structure!D:D,0)))</f>
        <v>Generalist medical practitioners</v>
      </c>
      <c r="C358" t="s">
        <v>684</v>
      </c>
      <c r="D358" t="str">
        <f>INDEX('group info'!B:B,MATCH(sectorLookup!C358,'group info'!A:A,0))</f>
        <v>STEM plus medicine and health and other</v>
      </c>
      <c r="E358" t="s">
        <v>322</v>
      </c>
      <c r="F358">
        <v>2020</v>
      </c>
      <c r="G358" t="str">
        <f t="shared" si="5"/>
        <v>STEM plus medicine and health and other SOC2020</v>
      </c>
    </row>
    <row r="359" spans="1:7" x14ac:dyDescent="0.35">
      <c r="A359">
        <v>2212</v>
      </c>
      <c r="B359" t="str">
        <f>IF(F359=2020,INDEX(SOC2020_Structure!E:E,MATCH(sectorLookup!A359,SOC2020_Structure!D:D,0)),INDEX(SOC2010_Structure!E:E,MATCH(sectorLookup!A359,SOC2010_Structure!D:D,0)))</f>
        <v>Specialist medical practitioners</v>
      </c>
      <c r="C359" t="s">
        <v>684</v>
      </c>
      <c r="D359" t="str">
        <f>INDEX('group info'!B:B,MATCH(sectorLookup!C359,'group info'!A:A,0))</f>
        <v>STEM plus medicine and health and other</v>
      </c>
      <c r="E359" t="s">
        <v>322</v>
      </c>
      <c r="F359">
        <v>2020</v>
      </c>
      <c r="G359" t="str">
        <f t="shared" si="5"/>
        <v>STEM plus medicine and health and other SOC2020</v>
      </c>
    </row>
    <row r="360" spans="1:7" x14ac:dyDescent="0.35">
      <c r="A360">
        <v>2221</v>
      </c>
      <c r="B360" t="str">
        <f>IF(F360=2020,INDEX(SOC2020_Structure!E:E,MATCH(sectorLookup!A360,SOC2020_Structure!D:D,0)),INDEX(SOC2010_Structure!E:E,MATCH(sectorLookup!A360,SOC2010_Structure!D:D,0)))</f>
        <v>Physiotherapists</v>
      </c>
      <c r="C360" t="s">
        <v>684</v>
      </c>
      <c r="D360" t="str">
        <f>INDEX('group info'!B:B,MATCH(sectorLookup!C360,'group info'!A:A,0))</f>
        <v>STEM plus medicine and health and other</v>
      </c>
      <c r="E360" t="s">
        <v>322</v>
      </c>
      <c r="F360">
        <v>2020</v>
      </c>
      <c r="G360" t="str">
        <f t="shared" si="5"/>
        <v>STEM plus medicine and health and other SOC2020</v>
      </c>
    </row>
    <row r="361" spans="1:7" x14ac:dyDescent="0.35">
      <c r="A361">
        <v>2222</v>
      </c>
      <c r="B361" t="str">
        <f>IF(F361=2020,INDEX(SOC2020_Structure!E:E,MATCH(sectorLookup!A361,SOC2020_Structure!D:D,0)),INDEX(SOC2010_Structure!E:E,MATCH(sectorLookup!A361,SOC2010_Structure!D:D,0)))</f>
        <v>Occupational therapists</v>
      </c>
      <c r="C361" t="s">
        <v>684</v>
      </c>
      <c r="D361" t="str">
        <f>INDEX('group info'!B:B,MATCH(sectorLookup!C361,'group info'!A:A,0))</f>
        <v>STEM plus medicine and health and other</v>
      </c>
      <c r="E361" t="s">
        <v>322</v>
      </c>
      <c r="F361">
        <v>2020</v>
      </c>
      <c r="G361" t="str">
        <f t="shared" si="5"/>
        <v>STEM plus medicine and health and other SOC2020</v>
      </c>
    </row>
    <row r="362" spans="1:7" x14ac:dyDescent="0.35">
      <c r="A362">
        <v>2223</v>
      </c>
      <c r="B362" t="str">
        <f>IF(F362=2020,INDEX(SOC2020_Structure!E:E,MATCH(sectorLookup!A362,SOC2020_Structure!D:D,0)),INDEX(SOC2010_Structure!E:E,MATCH(sectorLookup!A362,SOC2010_Structure!D:D,0)))</f>
        <v>Speech and language therapists</v>
      </c>
      <c r="C362" t="s">
        <v>684</v>
      </c>
      <c r="D362" t="str">
        <f>INDEX('group info'!B:B,MATCH(sectorLookup!C362,'group info'!A:A,0))</f>
        <v>STEM plus medicine and health and other</v>
      </c>
      <c r="E362" t="s">
        <v>322</v>
      </c>
      <c r="F362">
        <v>2020</v>
      </c>
      <c r="G362" t="str">
        <f t="shared" si="5"/>
        <v>STEM plus medicine and health and other SOC2020</v>
      </c>
    </row>
    <row r="363" spans="1:7" x14ac:dyDescent="0.35">
      <c r="A363">
        <v>2224</v>
      </c>
      <c r="B363" t="str">
        <f>IF(F363=2020,INDEX(SOC2020_Structure!E:E,MATCH(sectorLookup!A363,SOC2020_Structure!D:D,0)),INDEX(SOC2010_Structure!E:E,MATCH(sectorLookup!A363,SOC2010_Structure!D:D,0)))</f>
        <v>Psychotherapists and cognitive behaviour therapists</v>
      </c>
      <c r="C363" t="s">
        <v>684</v>
      </c>
      <c r="D363" t="str">
        <f>INDEX('group info'!B:B,MATCH(sectorLookup!C363,'group info'!A:A,0))</f>
        <v>STEM plus medicine and health and other</v>
      </c>
      <c r="E363" t="s">
        <v>322</v>
      </c>
      <c r="F363">
        <v>2020</v>
      </c>
      <c r="G363" t="str">
        <f t="shared" si="5"/>
        <v>STEM plus medicine and health and other SOC2020</v>
      </c>
    </row>
    <row r="364" spans="1:7" x14ac:dyDescent="0.35">
      <c r="A364">
        <v>2225</v>
      </c>
      <c r="B364" t="str">
        <f>IF(F364=2020,INDEX(SOC2020_Structure!E:E,MATCH(sectorLookup!A364,SOC2020_Structure!D:D,0)),INDEX(SOC2010_Structure!E:E,MATCH(sectorLookup!A364,SOC2010_Structure!D:D,0)))</f>
        <v>Clinical psychologists</v>
      </c>
      <c r="C364" t="s">
        <v>684</v>
      </c>
      <c r="D364" t="str">
        <f>INDEX('group info'!B:B,MATCH(sectorLookup!C364,'group info'!A:A,0))</f>
        <v>STEM plus medicine and health and other</v>
      </c>
      <c r="E364" t="s">
        <v>322</v>
      </c>
      <c r="F364">
        <v>2020</v>
      </c>
      <c r="G364" t="str">
        <f t="shared" si="5"/>
        <v>STEM plus medicine and health and other SOC2020</v>
      </c>
    </row>
    <row r="365" spans="1:7" x14ac:dyDescent="0.35">
      <c r="A365">
        <v>2226</v>
      </c>
      <c r="B365" t="str">
        <f>IF(F365=2020,INDEX(SOC2020_Structure!E:E,MATCH(sectorLookup!A365,SOC2020_Structure!D:D,0)),INDEX(SOC2010_Structure!E:E,MATCH(sectorLookup!A365,SOC2010_Structure!D:D,0)))</f>
        <v>Other psychologists</v>
      </c>
      <c r="C365" t="s">
        <v>684</v>
      </c>
      <c r="D365" t="str">
        <f>INDEX('group info'!B:B,MATCH(sectorLookup!C365,'group info'!A:A,0))</f>
        <v>STEM plus medicine and health and other</v>
      </c>
      <c r="E365" t="s">
        <v>322</v>
      </c>
      <c r="F365">
        <v>2020</v>
      </c>
      <c r="G365" t="str">
        <f t="shared" si="5"/>
        <v>STEM plus medicine and health and other SOC2020</v>
      </c>
    </row>
    <row r="366" spans="1:7" x14ac:dyDescent="0.35">
      <c r="A366">
        <v>2229</v>
      </c>
      <c r="B366" t="str">
        <f>IF(F366=2020,INDEX(SOC2020_Structure!E:E,MATCH(sectorLookup!A366,SOC2020_Structure!D:D,0)),INDEX(SOC2010_Structure!E:E,MATCH(sectorLookup!A366,SOC2010_Structure!D:D,0)))</f>
        <v>Therapy professionals n.e.c.</v>
      </c>
      <c r="C366" t="s">
        <v>684</v>
      </c>
      <c r="D366" t="str">
        <f>INDEX('group info'!B:B,MATCH(sectorLookup!C366,'group info'!A:A,0))</f>
        <v>STEM plus medicine and health and other</v>
      </c>
      <c r="E366" t="s">
        <v>322</v>
      </c>
      <c r="F366">
        <v>2020</v>
      </c>
      <c r="G366" t="str">
        <f t="shared" si="5"/>
        <v>STEM plus medicine and health and other SOC2020</v>
      </c>
    </row>
    <row r="367" spans="1:7" x14ac:dyDescent="0.35">
      <c r="A367">
        <v>2231</v>
      </c>
      <c r="B367" t="str">
        <f>IF(F367=2020,INDEX(SOC2020_Structure!E:E,MATCH(sectorLookup!A367,SOC2020_Structure!D:D,0)),INDEX(SOC2010_Structure!E:E,MATCH(sectorLookup!A367,SOC2010_Structure!D:D,0)))</f>
        <v>Midwifery nurses</v>
      </c>
      <c r="C367" t="s">
        <v>684</v>
      </c>
      <c r="D367" t="str">
        <f>INDEX('group info'!B:B,MATCH(sectorLookup!C367,'group info'!A:A,0))</f>
        <v>STEM plus medicine and health and other</v>
      </c>
      <c r="E367" t="s">
        <v>322</v>
      </c>
      <c r="F367">
        <v>2020</v>
      </c>
      <c r="G367" t="str">
        <f t="shared" si="5"/>
        <v>STEM plus medicine and health and other SOC2020</v>
      </c>
    </row>
    <row r="368" spans="1:7" x14ac:dyDescent="0.35">
      <c r="A368">
        <v>2232</v>
      </c>
      <c r="B368" t="str">
        <f>IF(F368=2020,INDEX(SOC2020_Structure!E:E,MATCH(sectorLookup!A368,SOC2020_Structure!D:D,0)),INDEX(SOC2010_Structure!E:E,MATCH(sectorLookup!A368,SOC2010_Structure!D:D,0)))</f>
        <v>Registered community nurses</v>
      </c>
      <c r="C368" t="s">
        <v>684</v>
      </c>
      <c r="D368" t="str">
        <f>INDEX('group info'!B:B,MATCH(sectorLookup!C368,'group info'!A:A,0))</f>
        <v>STEM plus medicine and health and other</v>
      </c>
      <c r="E368" t="s">
        <v>322</v>
      </c>
      <c r="F368">
        <v>2020</v>
      </c>
      <c r="G368" t="str">
        <f t="shared" si="5"/>
        <v>STEM plus medicine and health and other SOC2020</v>
      </c>
    </row>
    <row r="369" spans="1:7" x14ac:dyDescent="0.35">
      <c r="A369">
        <v>2233</v>
      </c>
      <c r="B369" t="str">
        <f>IF(F369=2020,INDEX(SOC2020_Structure!E:E,MATCH(sectorLookup!A369,SOC2020_Structure!D:D,0)),INDEX(SOC2010_Structure!E:E,MATCH(sectorLookup!A369,SOC2010_Structure!D:D,0)))</f>
        <v>Registered specialist nurses</v>
      </c>
      <c r="C369" t="s">
        <v>684</v>
      </c>
      <c r="D369" t="str">
        <f>INDEX('group info'!B:B,MATCH(sectorLookup!C369,'group info'!A:A,0))</f>
        <v>STEM plus medicine and health and other</v>
      </c>
      <c r="E369" t="s">
        <v>322</v>
      </c>
      <c r="F369">
        <v>2020</v>
      </c>
      <c r="G369" t="str">
        <f t="shared" si="5"/>
        <v>STEM plus medicine and health and other SOC2020</v>
      </c>
    </row>
    <row r="370" spans="1:7" x14ac:dyDescent="0.35">
      <c r="A370">
        <v>2234</v>
      </c>
      <c r="B370" t="str">
        <f>IF(F370=2020,INDEX(SOC2020_Structure!E:E,MATCH(sectorLookup!A370,SOC2020_Structure!D:D,0)),INDEX(SOC2010_Structure!E:E,MATCH(sectorLookup!A370,SOC2010_Structure!D:D,0)))</f>
        <v>Registered nurse practitioners</v>
      </c>
      <c r="C370" t="s">
        <v>684</v>
      </c>
      <c r="D370" t="str">
        <f>INDEX('group info'!B:B,MATCH(sectorLookup!C370,'group info'!A:A,0))</f>
        <v>STEM plus medicine and health and other</v>
      </c>
      <c r="E370" t="s">
        <v>322</v>
      </c>
      <c r="F370">
        <v>2020</v>
      </c>
      <c r="G370" t="str">
        <f t="shared" si="5"/>
        <v>STEM plus medicine and health and other SOC2020</v>
      </c>
    </row>
    <row r="371" spans="1:7" x14ac:dyDescent="0.35">
      <c r="A371">
        <v>2235</v>
      </c>
      <c r="B371" t="str">
        <f>IF(F371=2020,INDEX(SOC2020_Structure!E:E,MATCH(sectorLookup!A371,SOC2020_Structure!D:D,0)),INDEX(SOC2010_Structure!E:E,MATCH(sectorLookup!A371,SOC2010_Structure!D:D,0)))</f>
        <v>Registered mental health nurses</v>
      </c>
      <c r="C371" t="s">
        <v>684</v>
      </c>
      <c r="D371" t="str">
        <f>INDEX('group info'!B:B,MATCH(sectorLookup!C371,'group info'!A:A,0))</f>
        <v>STEM plus medicine and health and other</v>
      </c>
      <c r="E371" t="s">
        <v>322</v>
      </c>
      <c r="F371">
        <v>2020</v>
      </c>
      <c r="G371" t="str">
        <f t="shared" si="5"/>
        <v>STEM plus medicine and health and other SOC2020</v>
      </c>
    </row>
    <row r="372" spans="1:7" x14ac:dyDescent="0.35">
      <c r="A372">
        <v>2236</v>
      </c>
      <c r="B372" t="str">
        <f>IF(F372=2020,INDEX(SOC2020_Structure!E:E,MATCH(sectorLookup!A372,SOC2020_Structure!D:D,0)),INDEX(SOC2010_Structure!E:E,MATCH(sectorLookup!A372,SOC2010_Structure!D:D,0)))</f>
        <v>Registered children's nurses</v>
      </c>
      <c r="C372" t="s">
        <v>684</v>
      </c>
      <c r="D372" t="str">
        <f>INDEX('group info'!B:B,MATCH(sectorLookup!C372,'group info'!A:A,0))</f>
        <v>STEM plus medicine and health and other</v>
      </c>
      <c r="E372" t="s">
        <v>322</v>
      </c>
      <c r="F372">
        <v>2020</v>
      </c>
      <c r="G372" t="str">
        <f t="shared" si="5"/>
        <v>STEM plus medicine and health and other SOC2020</v>
      </c>
    </row>
    <row r="373" spans="1:7" x14ac:dyDescent="0.35">
      <c r="A373">
        <v>2237</v>
      </c>
      <c r="B373" t="str">
        <f>IF(F373=2020,INDEX(SOC2020_Structure!E:E,MATCH(sectorLookup!A373,SOC2020_Structure!D:D,0)),INDEX(SOC2010_Structure!E:E,MATCH(sectorLookup!A373,SOC2010_Structure!D:D,0)))</f>
        <v>Other registered nursing professionals</v>
      </c>
      <c r="C373" t="s">
        <v>684</v>
      </c>
      <c r="D373" t="str">
        <f>INDEX('group info'!B:B,MATCH(sectorLookup!C373,'group info'!A:A,0))</f>
        <v>STEM plus medicine and health and other</v>
      </c>
      <c r="E373" t="s">
        <v>322</v>
      </c>
      <c r="F373">
        <v>2020</v>
      </c>
      <c r="G373" t="str">
        <f t="shared" si="5"/>
        <v>STEM plus medicine and health and other SOC2020</v>
      </c>
    </row>
    <row r="374" spans="1:7" x14ac:dyDescent="0.35">
      <c r="A374">
        <v>2240</v>
      </c>
      <c r="B374" t="str">
        <f>IF(F374=2020,INDEX(SOC2020_Structure!E:E,MATCH(sectorLookup!A374,SOC2020_Structure!D:D,0)),INDEX(SOC2010_Structure!E:E,MATCH(sectorLookup!A374,SOC2010_Structure!D:D,0)))</f>
        <v>Veterinarians</v>
      </c>
      <c r="C374" t="s">
        <v>684</v>
      </c>
      <c r="D374" t="str">
        <f>INDEX('group info'!B:B,MATCH(sectorLookup!C374,'group info'!A:A,0))</f>
        <v>STEM plus medicine and health and other</v>
      </c>
      <c r="E374" t="s">
        <v>322</v>
      </c>
      <c r="F374">
        <v>2020</v>
      </c>
      <c r="G374" t="str">
        <f t="shared" si="5"/>
        <v>STEM plus medicine and health and other SOC2020</v>
      </c>
    </row>
    <row r="375" spans="1:7" x14ac:dyDescent="0.35">
      <c r="A375">
        <v>2251</v>
      </c>
      <c r="B375" t="str">
        <f>IF(F375=2020,INDEX(SOC2020_Structure!E:E,MATCH(sectorLookup!A375,SOC2020_Structure!D:D,0)),INDEX(SOC2010_Structure!E:E,MATCH(sectorLookup!A375,SOC2010_Structure!D:D,0)))</f>
        <v>Pharmacists</v>
      </c>
      <c r="C375" t="s">
        <v>684</v>
      </c>
      <c r="D375" t="str">
        <f>INDEX('group info'!B:B,MATCH(sectorLookup!C375,'group info'!A:A,0))</f>
        <v>STEM plus medicine and health and other</v>
      </c>
      <c r="E375" t="s">
        <v>322</v>
      </c>
      <c r="F375">
        <v>2020</v>
      </c>
      <c r="G375" t="str">
        <f t="shared" si="5"/>
        <v>STEM plus medicine and health and other SOC2020</v>
      </c>
    </row>
    <row r="376" spans="1:7" x14ac:dyDescent="0.35">
      <c r="A376">
        <v>2252</v>
      </c>
      <c r="B376" t="str">
        <f>IF(F376=2020,INDEX(SOC2020_Structure!E:E,MATCH(sectorLookup!A376,SOC2020_Structure!D:D,0)),INDEX(SOC2010_Structure!E:E,MATCH(sectorLookup!A376,SOC2010_Structure!D:D,0)))</f>
        <v>Optometrists</v>
      </c>
      <c r="C376" t="s">
        <v>684</v>
      </c>
      <c r="D376" t="str">
        <f>INDEX('group info'!B:B,MATCH(sectorLookup!C376,'group info'!A:A,0))</f>
        <v>STEM plus medicine and health and other</v>
      </c>
      <c r="E376" t="s">
        <v>322</v>
      </c>
      <c r="F376">
        <v>2020</v>
      </c>
      <c r="G376" t="str">
        <f t="shared" si="5"/>
        <v>STEM plus medicine and health and other SOC2020</v>
      </c>
    </row>
    <row r="377" spans="1:7" x14ac:dyDescent="0.35">
      <c r="A377">
        <v>2253</v>
      </c>
      <c r="B377" t="str">
        <f>IF(F377=2020,INDEX(SOC2020_Structure!E:E,MATCH(sectorLookup!A377,SOC2020_Structure!D:D,0)),INDEX(SOC2010_Structure!E:E,MATCH(sectorLookup!A377,SOC2010_Structure!D:D,0)))</f>
        <v>Dental practitioners</v>
      </c>
      <c r="C377" t="s">
        <v>684</v>
      </c>
      <c r="D377" t="str">
        <f>INDEX('group info'!B:B,MATCH(sectorLookup!C377,'group info'!A:A,0))</f>
        <v>STEM plus medicine and health and other</v>
      </c>
      <c r="E377" t="s">
        <v>322</v>
      </c>
      <c r="F377">
        <v>2020</v>
      </c>
      <c r="G377" t="str">
        <f t="shared" si="5"/>
        <v>STEM plus medicine and health and other SOC2020</v>
      </c>
    </row>
    <row r="378" spans="1:7" x14ac:dyDescent="0.35">
      <c r="A378">
        <v>2254</v>
      </c>
      <c r="B378" t="str">
        <f>IF(F378=2020,INDEX(SOC2020_Structure!E:E,MATCH(sectorLookup!A378,SOC2020_Structure!D:D,0)),INDEX(SOC2010_Structure!E:E,MATCH(sectorLookup!A378,SOC2010_Structure!D:D,0)))</f>
        <v>Medical radiographers</v>
      </c>
      <c r="C378" t="s">
        <v>684</v>
      </c>
      <c r="D378" t="str">
        <f>INDEX('group info'!B:B,MATCH(sectorLookup!C378,'group info'!A:A,0))</f>
        <v>STEM plus medicine and health and other</v>
      </c>
      <c r="E378" t="s">
        <v>322</v>
      </c>
      <c r="F378">
        <v>2020</v>
      </c>
      <c r="G378" t="str">
        <f t="shared" si="5"/>
        <v>STEM plus medicine and health and other SOC2020</v>
      </c>
    </row>
    <row r="379" spans="1:7" x14ac:dyDescent="0.35">
      <c r="A379">
        <v>2255</v>
      </c>
      <c r="B379" t="str">
        <f>IF(F379=2020,INDEX(SOC2020_Structure!E:E,MATCH(sectorLookup!A379,SOC2020_Structure!D:D,0)),INDEX(SOC2010_Structure!E:E,MATCH(sectorLookup!A379,SOC2010_Structure!D:D,0)))</f>
        <v>Paramedics</v>
      </c>
      <c r="C379" t="s">
        <v>684</v>
      </c>
      <c r="D379" t="str">
        <f>INDEX('group info'!B:B,MATCH(sectorLookup!C379,'group info'!A:A,0))</f>
        <v>STEM plus medicine and health and other</v>
      </c>
      <c r="E379" t="s">
        <v>322</v>
      </c>
      <c r="F379">
        <v>2020</v>
      </c>
      <c r="G379" t="str">
        <f t="shared" si="5"/>
        <v>STEM plus medicine and health and other SOC2020</v>
      </c>
    </row>
    <row r="380" spans="1:7" x14ac:dyDescent="0.35">
      <c r="A380">
        <v>2256</v>
      </c>
      <c r="B380" t="str">
        <f>IF(F380=2020,INDEX(SOC2020_Structure!E:E,MATCH(sectorLookup!A380,SOC2020_Structure!D:D,0)),INDEX(SOC2010_Structure!E:E,MATCH(sectorLookup!A380,SOC2010_Structure!D:D,0)))</f>
        <v>Podiatrists</v>
      </c>
      <c r="C380" t="s">
        <v>684</v>
      </c>
      <c r="D380" t="str">
        <f>INDEX('group info'!B:B,MATCH(sectorLookup!C380,'group info'!A:A,0))</f>
        <v>STEM plus medicine and health and other</v>
      </c>
      <c r="E380" t="s">
        <v>322</v>
      </c>
      <c r="F380">
        <v>2020</v>
      </c>
      <c r="G380" t="str">
        <f t="shared" si="5"/>
        <v>STEM plus medicine and health and other SOC2020</v>
      </c>
    </row>
    <row r="381" spans="1:7" x14ac:dyDescent="0.35">
      <c r="A381">
        <v>2259</v>
      </c>
      <c r="B381" t="str">
        <f>IF(F381=2020,INDEX(SOC2020_Structure!E:E,MATCH(sectorLookup!A381,SOC2020_Structure!D:D,0)),INDEX(SOC2010_Structure!E:E,MATCH(sectorLookup!A381,SOC2010_Structure!D:D,0)))</f>
        <v>Other health professionals n.e.c.</v>
      </c>
      <c r="C381" t="s">
        <v>684</v>
      </c>
      <c r="D381" t="str">
        <f>INDEX('group info'!B:B,MATCH(sectorLookup!C381,'group info'!A:A,0))</f>
        <v>STEM plus medicine and health and other</v>
      </c>
      <c r="E381" t="s">
        <v>322</v>
      </c>
      <c r="F381">
        <v>2020</v>
      </c>
      <c r="G381" t="str">
        <f t="shared" si="5"/>
        <v>STEM plus medicine and health and other SOC2020</v>
      </c>
    </row>
    <row r="382" spans="1:7" x14ac:dyDescent="0.35">
      <c r="A382">
        <v>2311</v>
      </c>
      <c r="B382" t="str">
        <f>IF(F382=2020,INDEX(SOC2020_Structure!E:E,MATCH(sectorLookup!A382,SOC2020_Structure!D:D,0)),INDEX(SOC2010_Structure!E:E,MATCH(sectorLookup!A382,SOC2010_Structure!D:D,0)))</f>
        <v>Higher education teaching professionals</v>
      </c>
      <c r="C382" t="s">
        <v>684</v>
      </c>
      <c r="D382" t="str">
        <f>INDEX('group info'!B:B,MATCH(sectorLookup!C382,'group info'!A:A,0))</f>
        <v>STEM plus medicine and health and other</v>
      </c>
      <c r="E382" t="s">
        <v>322</v>
      </c>
      <c r="F382">
        <v>2020</v>
      </c>
      <c r="G382" t="str">
        <f t="shared" si="5"/>
        <v>STEM plus medicine and health and other SOC2020</v>
      </c>
    </row>
    <row r="383" spans="1:7" x14ac:dyDescent="0.35">
      <c r="A383">
        <v>2312</v>
      </c>
      <c r="B383" t="str">
        <f>IF(F383=2020,INDEX(SOC2020_Structure!E:E,MATCH(sectorLookup!A383,SOC2020_Structure!D:D,0)),INDEX(SOC2010_Structure!E:E,MATCH(sectorLookup!A383,SOC2010_Structure!D:D,0)))</f>
        <v>Further education teaching professionals</v>
      </c>
      <c r="C383" t="s">
        <v>684</v>
      </c>
      <c r="D383" t="str">
        <f>INDEX('group info'!B:B,MATCH(sectorLookup!C383,'group info'!A:A,0))</f>
        <v>STEM plus medicine and health and other</v>
      </c>
      <c r="E383" t="s">
        <v>322</v>
      </c>
      <c r="F383">
        <v>2020</v>
      </c>
      <c r="G383" t="str">
        <f t="shared" si="5"/>
        <v>STEM plus medicine and health and other SOC2020</v>
      </c>
    </row>
    <row r="384" spans="1:7" x14ac:dyDescent="0.35">
      <c r="A384">
        <v>2313</v>
      </c>
      <c r="B384" t="str">
        <f>IF(F384=2020,INDEX(SOC2020_Structure!E:E,MATCH(sectorLookup!A384,SOC2020_Structure!D:D,0)),INDEX(SOC2010_Structure!E:E,MATCH(sectorLookup!A384,SOC2010_Structure!D:D,0)))</f>
        <v>Secondary education teaching professionals</v>
      </c>
      <c r="C384" t="s">
        <v>684</v>
      </c>
      <c r="D384" t="str">
        <f>INDEX('group info'!B:B,MATCH(sectorLookup!C384,'group info'!A:A,0))</f>
        <v>STEM plus medicine and health and other</v>
      </c>
      <c r="E384" t="s">
        <v>322</v>
      </c>
      <c r="F384">
        <v>2020</v>
      </c>
      <c r="G384" t="str">
        <f t="shared" si="5"/>
        <v>STEM plus medicine and health and other SOC2020</v>
      </c>
    </row>
    <row r="385" spans="1:7" x14ac:dyDescent="0.35">
      <c r="A385">
        <v>2421</v>
      </c>
      <c r="B385" t="str">
        <f>IF(F385=2020,INDEX(SOC2020_Structure!E:E,MATCH(sectorLookup!A385,SOC2020_Structure!D:D,0)),INDEX(SOC2010_Structure!E:E,MATCH(sectorLookup!A385,SOC2010_Structure!D:D,0)))</f>
        <v>Chartered and certified accountants</v>
      </c>
      <c r="C385" t="s">
        <v>684</v>
      </c>
      <c r="D385" t="str">
        <f>INDEX('group info'!B:B,MATCH(sectorLookup!C385,'group info'!A:A,0))</f>
        <v>STEM plus medicine and health and other</v>
      </c>
      <c r="E385" t="s">
        <v>322</v>
      </c>
      <c r="F385">
        <v>2020</v>
      </c>
      <c r="G385" t="str">
        <f t="shared" si="5"/>
        <v>STEM plus medicine and health and other SOC2020</v>
      </c>
    </row>
    <row r="386" spans="1:7" x14ac:dyDescent="0.35">
      <c r="A386">
        <v>2422</v>
      </c>
      <c r="B386" t="str">
        <f>IF(F386=2020,INDEX(SOC2020_Structure!E:E,MATCH(sectorLookup!A386,SOC2020_Structure!D:D,0)),INDEX(SOC2010_Structure!E:E,MATCH(sectorLookup!A386,SOC2010_Structure!D:D,0)))</f>
        <v>Finance and investment analysts and advisers</v>
      </c>
      <c r="C386" t="s">
        <v>684</v>
      </c>
      <c r="D386" t="str">
        <f>INDEX('group info'!B:B,MATCH(sectorLookup!C386,'group info'!A:A,0))</f>
        <v>STEM plus medicine and health and other</v>
      </c>
      <c r="E386" t="s">
        <v>322</v>
      </c>
      <c r="F386">
        <v>2020</v>
      </c>
      <c r="G386" t="str">
        <f t="shared" si="5"/>
        <v>STEM plus medicine and health and other SOC2020</v>
      </c>
    </row>
    <row r="387" spans="1:7" x14ac:dyDescent="0.35">
      <c r="A387">
        <v>2423</v>
      </c>
      <c r="B387" t="str">
        <f>IF(F387=2020,INDEX(SOC2020_Structure!E:E,MATCH(sectorLookup!A387,SOC2020_Structure!D:D,0)),INDEX(SOC2010_Structure!E:E,MATCH(sectorLookup!A387,SOC2010_Structure!D:D,0)))</f>
        <v>Taxation experts</v>
      </c>
      <c r="C387" t="s">
        <v>684</v>
      </c>
      <c r="D387" t="str">
        <f>INDEX('group info'!B:B,MATCH(sectorLookup!C387,'group info'!A:A,0))</f>
        <v>STEM plus medicine and health and other</v>
      </c>
      <c r="E387" t="s">
        <v>322</v>
      </c>
      <c r="F387">
        <v>2020</v>
      </c>
      <c r="G387" t="str">
        <f t="shared" ref="G387:G450" si="6">D387&amp;" SOC"&amp;F387</f>
        <v>STEM plus medicine and health and other SOC2020</v>
      </c>
    </row>
    <row r="388" spans="1:7" x14ac:dyDescent="0.35">
      <c r="A388">
        <v>2431</v>
      </c>
      <c r="B388" t="str">
        <f>IF(F388=2020,INDEX(SOC2020_Structure!E:E,MATCH(sectorLookup!A388,SOC2020_Structure!D:D,0)),INDEX(SOC2010_Structure!E:E,MATCH(sectorLookup!A388,SOC2010_Structure!D:D,0)))</f>
        <v>Management consultants and business analysts</v>
      </c>
      <c r="C388" t="s">
        <v>684</v>
      </c>
      <c r="D388" t="str">
        <f>INDEX('group info'!B:B,MATCH(sectorLookup!C388,'group info'!A:A,0))</f>
        <v>STEM plus medicine and health and other</v>
      </c>
      <c r="E388" t="s">
        <v>322</v>
      </c>
      <c r="F388">
        <v>2020</v>
      </c>
      <c r="G388" t="str">
        <f t="shared" si="6"/>
        <v>STEM plus medicine and health and other SOC2020</v>
      </c>
    </row>
    <row r="389" spans="1:7" x14ac:dyDescent="0.35">
      <c r="A389">
        <v>2433</v>
      </c>
      <c r="B389" t="str">
        <f>IF(F389=2020,INDEX(SOC2020_Structure!E:E,MATCH(sectorLookup!A389,SOC2020_Structure!D:D,0)),INDEX(SOC2010_Structure!E:E,MATCH(sectorLookup!A389,SOC2010_Structure!D:D,0)))</f>
        <v>Actuaries, economists and statisticians</v>
      </c>
      <c r="C389" t="s">
        <v>684</v>
      </c>
      <c r="D389" t="str">
        <f>INDEX('group info'!B:B,MATCH(sectorLookup!C389,'group info'!A:A,0))</f>
        <v>STEM plus medicine and health and other</v>
      </c>
      <c r="E389" t="s">
        <v>322</v>
      </c>
      <c r="F389">
        <v>2020</v>
      </c>
      <c r="G389" t="str">
        <f t="shared" si="6"/>
        <v>STEM plus medicine and health and other SOC2020</v>
      </c>
    </row>
    <row r="390" spans="1:7" x14ac:dyDescent="0.35">
      <c r="A390">
        <v>2434</v>
      </c>
      <c r="B390" t="str">
        <f>IF(F390=2020,INDEX(SOC2020_Structure!E:E,MATCH(sectorLookup!A390,SOC2020_Structure!D:D,0)),INDEX(SOC2010_Structure!E:E,MATCH(sectorLookup!A390,SOC2010_Structure!D:D,0)))</f>
        <v>Business and related research professionals</v>
      </c>
      <c r="C390" t="s">
        <v>684</v>
      </c>
      <c r="D390" t="str">
        <f>INDEX('group info'!B:B,MATCH(sectorLookup!C390,'group info'!A:A,0))</f>
        <v>STEM plus medicine and health and other</v>
      </c>
      <c r="E390" t="s">
        <v>322</v>
      </c>
      <c r="F390">
        <v>2020</v>
      </c>
      <c r="G390" t="str">
        <f t="shared" si="6"/>
        <v>STEM plus medicine and health and other SOC2020</v>
      </c>
    </row>
    <row r="391" spans="1:7" x14ac:dyDescent="0.35">
      <c r="A391">
        <v>2440</v>
      </c>
      <c r="B391" t="str">
        <f>IF(F391=2020,INDEX(SOC2020_Structure!E:E,MATCH(sectorLookup!A391,SOC2020_Structure!D:D,0)),INDEX(SOC2010_Structure!E:E,MATCH(sectorLookup!A391,SOC2010_Structure!D:D,0)))</f>
        <v>Business and financial project management professionals</v>
      </c>
      <c r="C391" t="s">
        <v>684</v>
      </c>
      <c r="D391" t="str">
        <f>INDEX('group info'!B:B,MATCH(sectorLookup!C391,'group info'!A:A,0))</f>
        <v>STEM plus medicine and health and other</v>
      </c>
      <c r="E391" t="s">
        <v>322</v>
      </c>
      <c r="F391">
        <v>2020</v>
      </c>
      <c r="G391" t="str">
        <f t="shared" si="6"/>
        <v>STEM plus medicine and health and other SOC2020</v>
      </c>
    </row>
    <row r="392" spans="1:7" x14ac:dyDescent="0.35">
      <c r="A392">
        <v>2451</v>
      </c>
      <c r="B392" t="str">
        <f>IF(F392=2020,INDEX(SOC2020_Structure!E:E,MATCH(sectorLookup!A392,SOC2020_Structure!D:D,0)),INDEX(SOC2010_Structure!E:E,MATCH(sectorLookup!A392,SOC2010_Structure!D:D,0)))</f>
        <v>Architects</v>
      </c>
      <c r="C392" t="s">
        <v>684</v>
      </c>
      <c r="D392" t="str">
        <f>INDEX('group info'!B:B,MATCH(sectorLookup!C392,'group info'!A:A,0))</f>
        <v>STEM plus medicine and health and other</v>
      </c>
      <c r="E392" t="s">
        <v>322</v>
      </c>
      <c r="F392">
        <v>2020</v>
      </c>
      <c r="G392" t="str">
        <f t="shared" si="6"/>
        <v>STEM plus medicine and health and other SOC2020</v>
      </c>
    </row>
    <row r="393" spans="1:7" x14ac:dyDescent="0.35">
      <c r="A393">
        <v>2452</v>
      </c>
      <c r="B393" t="str">
        <f>IF(F393=2020,INDEX(SOC2020_Structure!E:E,MATCH(sectorLookup!A393,SOC2020_Structure!D:D,0)),INDEX(SOC2010_Structure!E:E,MATCH(sectorLookup!A393,SOC2010_Structure!D:D,0)))</f>
        <v>Chartered architectural technologists, planning officers and consultants</v>
      </c>
      <c r="C393" t="s">
        <v>684</v>
      </c>
      <c r="D393" t="str">
        <f>INDEX('group info'!B:B,MATCH(sectorLookup!C393,'group info'!A:A,0))</f>
        <v>STEM plus medicine and health and other</v>
      </c>
      <c r="E393" t="s">
        <v>322</v>
      </c>
      <c r="F393">
        <v>2020</v>
      </c>
      <c r="G393" t="str">
        <f t="shared" si="6"/>
        <v>STEM plus medicine and health and other SOC2020</v>
      </c>
    </row>
    <row r="394" spans="1:7" x14ac:dyDescent="0.35">
      <c r="A394">
        <v>2453</v>
      </c>
      <c r="B394" t="str">
        <f>IF(F394=2020,INDEX(SOC2020_Structure!E:E,MATCH(sectorLookup!A394,SOC2020_Structure!D:D,0)),INDEX(SOC2010_Structure!E:E,MATCH(sectorLookup!A394,SOC2010_Structure!D:D,0)))</f>
        <v>Quantity surveyors</v>
      </c>
      <c r="C394" t="s">
        <v>684</v>
      </c>
      <c r="D394" t="str">
        <f>INDEX('group info'!B:B,MATCH(sectorLookup!C394,'group info'!A:A,0))</f>
        <v>STEM plus medicine and health and other</v>
      </c>
      <c r="E394" t="s">
        <v>322</v>
      </c>
      <c r="F394">
        <v>2020</v>
      </c>
      <c r="G394" t="str">
        <f t="shared" si="6"/>
        <v>STEM plus medicine and health and other SOC2020</v>
      </c>
    </row>
    <row r="395" spans="1:7" x14ac:dyDescent="0.35">
      <c r="A395">
        <v>2454</v>
      </c>
      <c r="B395" t="str">
        <f>IF(F395=2020,INDEX(SOC2020_Structure!E:E,MATCH(sectorLookup!A395,SOC2020_Structure!D:D,0)),INDEX(SOC2010_Structure!E:E,MATCH(sectorLookup!A395,SOC2010_Structure!D:D,0)))</f>
        <v>Chartered surveyors</v>
      </c>
      <c r="C395" t="s">
        <v>684</v>
      </c>
      <c r="D395" t="str">
        <f>INDEX('group info'!B:B,MATCH(sectorLookup!C395,'group info'!A:A,0))</f>
        <v>STEM plus medicine and health and other</v>
      </c>
      <c r="E395" t="s">
        <v>322</v>
      </c>
      <c r="F395">
        <v>2020</v>
      </c>
      <c r="G395" t="str">
        <f t="shared" si="6"/>
        <v>STEM plus medicine and health and other SOC2020</v>
      </c>
    </row>
    <row r="396" spans="1:7" x14ac:dyDescent="0.35">
      <c r="A396">
        <v>2455</v>
      </c>
      <c r="B396" t="str">
        <f>IF(F396=2020,INDEX(SOC2020_Structure!E:E,MATCH(sectorLookup!A396,SOC2020_Structure!D:D,0)),INDEX(SOC2010_Structure!E:E,MATCH(sectorLookup!A396,SOC2010_Structure!D:D,0)))</f>
        <v>Construction project managers and related professionals</v>
      </c>
      <c r="C396" t="s">
        <v>684</v>
      </c>
      <c r="D396" t="str">
        <f>INDEX('group info'!B:B,MATCH(sectorLookup!C396,'group info'!A:A,0))</f>
        <v>STEM plus medicine and health and other</v>
      </c>
      <c r="E396" t="s">
        <v>322</v>
      </c>
      <c r="F396">
        <v>2020</v>
      </c>
      <c r="G396" t="str">
        <f t="shared" si="6"/>
        <v>STEM plus medicine and health and other SOC2020</v>
      </c>
    </row>
    <row r="397" spans="1:7" x14ac:dyDescent="0.35">
      <c r="A397">
        <v>2481</v>
      </c>
      <c r="B397" t="str">
        <f>IF(F397=2020,INDEX(SOC2020_Structure!E:E,MATCH(sectorLookup!A397,SOC2020_Structure!D:D,0)),INDEX(SOC2010_Structure!E:E,MATCH(sectorLookup!A397,SOC2010_Structure!D:D,0)))</f>
        <v>Quality control and planning engineers</v>
      </c>
      <c r="C397" t="s">
        <v>684</v>
      </c>
      <c r="D397" t="str">
        <f>INDEX('group info'!B:B,MATCH(sectorLookup!C397,'group info'!A:A,0))</f>
        <v>STEM plus medicine and health and other</v>
      </c>
      <c r="E397" t="s">
        <v>322</v>
      </c>
      <c r="F397">
        <v>2020</v>
      </c>
      <c r="G397" t="str">
        <f t="shared" si="6"/>
        <v>STEM plus medicine and health and other SOC2020</v>
      </c>
    </row>
    <row r="398" spans="1:7" x14ac:dyDescent="0.35">
      <c r="A398">
        <v>2482</v>
      </c>
      <c r="B398" t="str">
        <f>IF(F398=2020,INDEX(SOC2020_Structure!E:E,MATCH(sectorLookup!A398,SOC2020_Structure!D:D,0)),INDEX(SOC2010_Structure!E:E,MATCH(sectorLookup!A398,SOC2010_Structure!D:D,0)))</f>
        <v>Quality assurance and regulatory professionals</v>
      </c>
      <c r="C398" t="s">
        <v>684</v>
      </c>
      <c r="D398" t="str">
        <f>INDEX('group info'!B:B,MATCH(sectorLookup!C398,'group info'!A:A,0))</f>
        <v>STEM plus medicine and health and other</v>
      </c>
      <c r="E398" t="s">
        <v>322</v>
      </c>
      <c r="F398">
        <v>2020</v>
      </c>
      <c r="G398" t="str">
        <f t="shared" si="6"/>
        <v>STEM plus medicine and health and other SOC2020</v>
      </c>
    </row>
    <row r="399" spans="1:7" x14ac:dyDescent="0.35">
      <c r="A399">
        <v>2483</v>
      </c>
      <c r="B399" t="str">
        <f>IF(F399=2020,INDEX(SOC2020_Structure!E:E,MATCH(sectorLookup!A399,SOC2020_Structure!D:D,0)),INDEX(SOC2010_Structure!E:E,MATCH(sectorLookup!A399,SOC2010_Structure!D:D,0)))</f>
        <v>Environmental health professionals</v>
      </c>
      <c r="C399" t="s">
        <v>684</v>
      </c>
      <c r="D399" t="str">
        <f>INDEX('group info'!B:B,MATCH(sectorLookup!C399,'group info'!A:A,0))</f>
        <v>STEM plus medicine and health and other</v>
      </c>
      <c r="E399" t="s">
        <v>322</v>
      </c>
      <c r="F399">
        <v>2020</v>
      </c>
      <c r="G399" t="str">
        <f t="shared" si="6"/>
        <v>STEM plus medicine and health and other SOC2020</v>
      </c>
    </row>
    <row r="400" spans="1:7" x14ac:dyDescent="0.35">
      <c r="A400">
        <v>3111</v>
      </c>
      <c r="B400" t="str">
        <f>IF(F400=2020,INDEX(SOC2020_Structure!E:E,MATCH(sectorLookup!A400,SOC2020_Structure!D:D,0)),INDEX(SOC2010_Structure!E:E,MATCH(sectorLookup!A400,SOC2010_Structure!D:D,0)))</f>
        <v>Laboratory technicians</v>
      </c>
      <c r="C400" t="s">
        <v>684</v>
      </c>
      <c r="D400" t="str">
        <f>INDEX('group info'!B:B,MATCH(sectorLookup!C400,'group info'!A:A,0))</f>
        <v>STEM plus medicine and health and other</v>
      </c>
      <c r="E400" t="s">
        <v>322</v>
      </c>
      <c r="F400">
        <v>2020</v>
      </c>
      <c r="G400" t="str">
        <f t="shared" si="6"/>
        <v>STEM plus medicine and health and other SOC2020</v>
      </c>
    </row>
    <row r="401" spans="1:7" x14ac:dyDescent="0.35">
      <c r="A401">
        <v>3112</v>
      </c>
      <c r="B401" t="str">
        <f>IF(F401=2020,INDEX(SOC2020_Structure!E:E,MATCH(sectorLookup!A401,SOC2020_Structure!D:D,0)),INDEX(SOC2010_Structure!E:E,MATCH(sectorLookup!A401,SOC2010_Structure!D:D,0)))</f>
        <v>Electrical and electronics technicians</v>
      </c>
      <c r="C401" t="s">
        <v>684</v>
      </c>
      <c r="D401" t="str">
        <f>INDEX('group info'!B:B,MATCH(sectorLookup!C401,'group info'!A:A,0))</f>
        <v>STEM plus medicine and health and other</v>
      </c>
      <c r="E401" t="s">
        <v>322</v>
      </c>
      <c r="F401">
        <v>2020</v>
      </c>
      <c r="G401" t="str">
        <f t="shared" si="6"/>
        <v>STEM plus medicine and health and other SOC2020</v>
      </c>
    </row>
    <row r="402" spans="1:7" x14ac:dyDescent="0.35">
      <c r="A402">
        <v>3113</v>
      </c>
      <c r="B402" t="str">
        <f>IF(F402=2020,INDEX(SOC2020_Structure!E:E,MATCH(sectorLookup!A402,SOC2020_Structure!D:D,0)),INDEX(SOC2010_Structure!E:E,MATCH(sectorLookup!A402,SOC2010_Structure!D:D,0)))</f>
        <v>Engineering technicians</v>
      </c>
      <c r="C402" t="s">
        <v>684</v>
      </c>
      <c r="D402" t="str">
        <f>INDEX('group info'!B:B,MATCH(sectorLookup!C402,'group info'!A:A,0))</f>
        <v>STEM plus medicine and health and other</v>
      </c>
      <c r="E402" t="s">
        <v>322</v>
      </c>
      <c r="F402">
        <v>2020</v>
      </c>
      <c r="G402" t="str">
        <f t="shared" si="6"/>
        <v>STEM plus medicine and health and other SOC2020</v>
      </c>
    </row>
    <row r="403" spans="1:7" x14ac:dyDescent="0.35">
      <c r="A403">
        <v>3114</v>
      </c>
      <c r="B403" t="str">
        <f>IF(F403=2020,INDEX(SOC2020_Structure!E:E,MATCH(sectorLookup!A403,SOC2020_Structure!D:D,0)),INDEX(SOC2010_Structure!E:E,MATCH(sectorLookup!A403,SOC2010_Structure!D:D,0)))</f>
        <v>Building and civil engineering technicians</v>
      </c>
      <c r="C403" t="s">
        <v>684</v>
      </c>
      <c r="D403" t="str">
        <f>INDEX('group info'!B:B,MATCH(sectorLookup!C403,'group info'!A:A,0))</f>
        <v>STEM plus medicine and health and other</v>
      </c>
      <c r="E403" t="s">
        <v>322</v>
      </c>
      <c r="F403">
        <v>2020</v>
      </c>
      <c r="G403" t="str">
        <f t="shared" si="6"/>
        <v>STEM plus medicine and health and other SOC2020</v>
      </c>
    </row>
    <row r="404" spans="1:7" x14ac:dyDescent="0.35">
      <c r="A404">
        <v>3115</v>
      </c>
      <c r="B404" t="str">
        <f>IF(F404=2020,INDEX(SOC2020_Structure!E:E,MATCH(sectorLookup!A404,SOC2020_Structure!D:D,0)),INDEX(SOC2010_Structure!E:E,MATCH(sectorLookup!A404,SOC2010_Structure!D:D,0)))</f>
        <v>Quality assurance technicians</v>
      </c>
      <c r="C404" t="s">
        <v>684</v>
      </c>
      <c r="D404" t="str">
        <f>INDEX('group info'!B:B,MATCH(sectorLookup!C404,'group info'!A:A,0))</f>
        <v>STEM plus medicine and health and other</v>
      </c>
      <c r="E404" t="s">
        <v>322</v>
      </c>
      <c r="F404">
        <v>2020</v>
      </c>
      <c r="G404" t="str">
        <f t="shared" si="6"/>
        <v>STEM plus medicine and health and other SOC2020</v>
      </c>
    </row>
    <row r="405" spans="1:7" x14ac:dyDescent="0.35">
      <c r="A405">
        <v>3116</v>
      </c>
      <c r="B405" t="str">
        <f>IF(F405=2020,INDEX(SOC2020_Structure!E:E,MATCH(sectorLookup!A405,SOC2020_Structure!D:D,0)),INDEX(SOC2010_Structure!E:E,MATCH(sectorLookup!A405,SOC2010_Structure!D:D,0)))</f>
        <v>Planning, process and production technicians</v>
      </c>
      <c r="C405" t="s">
        <v>684</v>
      </c>
      <c r="D405" t="str">
        <f>INDEX('group info'!B:B,MATCH(sectorLookup!C405,'group info'!A:A,0))</f>
        <v>STEM plus medicine and health and other</v>
      </c>
      <c r="E405" t="s">
        <v>322</v>
      </c>
      <c r="F405">
        <v>2020</v>
      </c>
      <c r="G405" t="str">
        <f t="shared" si="6"/>
        <v>STEM plus medicine and health and other SOC2020</v>
      </c>
    </row>
    <row r="406" spans="1:7" x14ac:dyDescent="0.35">
      <c r="A406">
        <v>3119</v>
      </c>
      <c r="B406" t="str">
        <f>IF(F406=2020,INDEX(SOC2020_Structure!E:E,MATCH(sectorLookup!A406,SOC2020_Structure!D:D,0)),INDEX(SOC2010_Structure!E:E,MATCH(sectorLookup!A406,SOC2010_Structure!D:D,0)))</f>
        <v>Science, engineering and production technicians n.e.c.</v>
      </c>
      <c r="C406" t="s">
        <v>684</v>
      </c>
      <c r="D406" t="str">
        <f>INDEX('group info'!B:B,MATCH(sectorLookup!C406,'group info'!A:A,0))</f>
        <v>STEM plus medicine and health and other</v>
      </c>
      <c r="E406" t="s">
        <v>322</v>
      </c>
      <c r="F406">
        <v>2020</v>
      </c>
      <c r="G406" t="str">
        <f t="shared" si="6"/>
        <v>STEM plus medicine and health and other SOC2020</v>
      </c>
    </row>
    <row r="407" spans="1:7" x14ac:dyDescent="0.35">
      <c r="A407">
        <v>3120</v>
      </c>
      <c r="B407" t="str">
        <f>IF(F407=2020,INDEX(SOC2020_Structure!E:E,MATCH(sectorLookup!A407,SOC2020_Structure!D:D,0)),INDEX(SOC2010_Structure!E:E,MATCH(sectorLookup!A407,SOC2010_Structure!D:D,0)))</f>
        <v>CAD, drawing and architectural technicians</v>
      </c>
      <c r="C407" t="s">
        <v>684</v>
      </c>
      <c r="D407" t="str">
        <f>INDEX('group info'!B:B,MATCH(sectorLookup!C407,'group info'!A:A,0))</f>
        <v>STEM plus medicine and health and other</v>
      </c>
      <c r="E407" t="s">
        <v>322</v>
      </c>
      <c r="F407">
        <v>2020</v>
      </c>
      <c r="G407" t="str">
        <f t="shared" si="6"/>
        <v>STEM plus medicine and health and other SOC2020</v>
      </c>
    </row>
    <row r="408" spans="1:7" x14ac:dyDescent="0.35">
      <c r="A408">
        <v>3131</v>
      </c>
      <c r="B408" t="str">
        <f>IF(F408=2020,INDEX(SOC2020_Structure!E:E,MATCH(sectorLookup!A408,SOC2020_Structure!D:D,0)),INDEX(SOC2010_Structure!E:E,MATCH(sectorLookup!A408,SOC2010_Structure!D:D,0)))</f>
        <v>IT operations technicians</v>
      </c>
      <c r="C408" t="s">
        <v>684</v>
      </c>
      <c r="D408" t="str">
        <f>INDEX('group info'!B:B,MATCH(sectorLookup!C408,'group info'!A:A,0))</f>
        <v>STEM plus medicine and health and other</v>
      </c>
      <c r="E408" t="s">
        <v>322</v>
      </c>
      <c r="F408">
        <v>2020</v>
      </c>
      <c r="G408" t="str">
        <f t="shared" si="6"/>
        <v>STEM plus medicine and health and other SOC2020</v>
      </c>
    </row>
    <row r="409" spans="1:7" x14ac:dyDescent="0.35">
      <c r="A409">
        <v>3132</v>
      </c>
      <c r="B409" t="str">
        <f>IF(F409=2020,INDEX(SOC2020_Structure!E:E,MATCH(sectorLookup!A409,SOC2020_Structure!D:D,0)),INDEX(SOC2010_Structure!E:E,MATCH(sectorLookup!A409,SOC2010_Structure!D:D,0)))</f>
        <v>IT user support technicians</v>
      </c>
      <c r="C409" t="s">
        <v>684</v>
      </c>
      <c r="D409" t="str">
        <f>INDEX('group info'!B:B,MATCH(sectorLookup!C409,'group info'!A:A,0))</f>
        <v>STEM plus medicine and health and other</v>
      </c>
      <c r="E409" t="s">
        <v>322</v>
      </c>
      <c r="F409">
        <v>2020</v>
      </c>
      <c r="G409" t="str">
        <f t="shared" si="6"/>
        <v>STEM plus medicine and health and other SOC2020</v>
      </c>
    </row>
    <row r="410" spans="1:7" x14ac:dyDescent="0.35">
      <c r="A410">
        <v>3133</v>
      </c>
      <c r="B410" t="str">
        <f>IF(F410=2020,INDEX(SOC2020_Structure!E:E,MATCH(sectorLookup!A410,SOC2020_Structure!D:D,0)),INDEX(SOC2010_Structure!E:E,MATCH(sectorLookup!A410,SOC2010_Structure!D:D,0)))</f>
        <v>Database administrators and web content technicians</v>
      </c>
      <c r="C410" t="s">
        <v>684</v>
      </c>
      <c r="D410" t="str">
        <f>INDEX('group info'!B:B,MATCH(sectorLookup!C410,'group info'!A:A,0))</f>
        <v>STEM plus medicine and health and other</v>
      </c>
      <c r="E410" t="s">
        <v>322</v>
      </c>
      <c r="F410">
        <v>2020</v>
      </c>
      <c r="G410" t="str">
        <f t="shared" si="6"/>
        <v>STEM plus medicine and health and other SOC2020</v>
      </c>
    </row>
    <row r="411" spans="1:7" x14ac:dyDescent="0.35">
      <c r="A411">
        <v>3211</v>
      </c>
      <c r="B411" t="str">
        <f>IF(F411=2020,INDEX(SOC2020_Structure!E:E,MATCH(sectorLookup!A411,SOC2020_Structure!D:D,0)),INDEX(SOC2010_Structure!E:E,MATCH(sectorLookup!A411,SOC2010_Structure!D:D,0)))</f>
        <v>Dispensing opticians</v>
      </c>
      <c r="C411" t="s">
        <v>684</v>
      </c>
      <c r="D411" t="str">
        <f>INDEX('group info'!B:B,MATCH(sectorLookup!C411,'group info'!A:A,0))</f>
        <v>STEM plus medicine and health and other</v>
      </c>
      <c r="E411" t="s">
        <v>322</v>
      </c>
      <c r="F411">
        <v>2020</v>
      </c>
      <c r="G411" t="str">
        <f t="shared" si="6"/>
        <v>STEM plus medicine and health and other SOC2020</v>
      </c>
    </row>
    <row r="412" spans="1:7" x14ac:dyDescent="0.35">
      <c r="A412">
        <v>3212</v>
      </c>
      <c r="B412" t="str">
        <f>IF(F412=2020,INDEX(SOC2020_Structure!E:E,MATCH(sectorLookup!A412,SOC2020_Structure!D:D,0)),INDEX(SOC2010_Structure!E:E,MATCH(sectorLookup!A412,SOC2010_Structure!D:D,0)))</f>
        <v>Pharmaceutical technicians</v>
      </c>
      <c r="C412" t="s">
        <v>684</v>
      </c>
      <c r="D412" t="str">
        <f>INDEX('group info'!B:B,MATCH(sectorLookup!C412,'group info'!A:A,0))</f>
        <v>STEM plus medicine and health and other</v>
      </c>
      <c r="E412" t="s">
        <v>322</v>
      </c>
      <c r="F412">
        <v>2020</v>
      </c>
      <c r="G412" t="str">
        <f t="shared" si="6"/>
        <v>STEM plus medicine and health and other SOC2020</v>
      </c>
    </row>
    <row r="413" spans="1:7" x14ac:dyDescent="0.35">
      <c r="A413">
        <v>3213</v>
      </c>
      <c r="B413" t="str">
        <f>IF(F413=2020,INDEX(SOC2020_Structure!E:E,MATCH(sectorLookup!A413,SOC2020_Structure!D:D,0)),INDEX(SOC2010_Structure!E:E,MATCH(sectorLookup!A413,SOC2010_Structure!D:D,0)))</f>
        <v>Medical and dental technicians</v>
      </c>
      <c r="C413" t="s">
        <v>684</v>
      </c>
      <c r="D413" t="str">
        <f>INDEX('group info'!B:B,MATCH(sectorLookup!C413,'group info'!A:A,0))</f>
        <v>STEM plus medicine and health and other</v>
      </c>
      <c r="E413" t="s">
        <v>322</v>
      </c>
      <c r="F413">
        <v>2020</v>
      </c>
      <c r="G413" t="str">
        <f t="shared" si="6"/>
        <v>STEM plus medicine and health and other SOC2020</v>
      </c>
    </row>
    <row r="414" spans="1:7" x14ac:dyDescent="0.35">
      <c r="A414">
        <v>3214</v>
      </c>
      <c r="B414" t="str">
        <f>IF(F414=2020,INDEX(SOC2020_Structure!E:E,MATCH(sectorLookup!A414,SOC2020_Structure!D:D,0)),INDEX(SOC2010_Structure!E:E,MATCH(sectorLookup!A414,SOC2010_Structure!D:D,0)))</f>
        <v>Complementary health associate professionals</v>
      </c>
      <c r="C414" t="s">
        <v>684</v>
      </c>
      <c r="D414" t="str">
        <f>INDEX('group info'!B:B,MATCH(sectorLookup!C414,'group info'!A:A,0))</f>
        <v>STEM plus medicine and health and other</v>
      </c>
      <c r="E414" t="s">
        <v>322</v>
      </c>
      <c r="F414">
        <v>2020</v>
      </c>
      <c r="G414" t="str">
        <f t="shared" si="6"/>
        <v>STEM plus medicine and health and other SOC2020</v>
      </c>
    </row>
    <row r="415" spans="1:7" x14ac:dyDescent="0.35">
      <c r="A415">
        <v>3219</v>
      </c>
      <c r="B415" t="str">
        <f>IF(F415=2020,INDEX(SOC2020_Structure!E:E,MATCH(sectorLookup!A415,SOC2020_Structure!D:D,0)),INDEX(SOC2010_Structure!E:E,MATCH(sectorLookup!A415,SOC2010_Structure!D:D,0)))</f>
        <v>Health associate professionals n.e.c.</v>
      </c>
      <c r="C415" t="s">
        <v>684</v>
      </c>
      <c r="D415" t="str">
        <f>INDEX('group info'!B:B,MATCH(sectorLookup!C415,'group info'!A:A,0))</f>
        <v>STEM plus medicine and health and other</v>
      </c>
      <c r="E415" t="s">
        <v>322</v>
      </c>
      <c r="F415">
        <v>2020</v>
      </c>
      <c r="G415" t="str">
        <f t="shared" si="6"/>
        <v>STEM plus medicine and health and other SOC2020</v>
      </c>
    </row>
    <row r="416" spans="1:7" x14ac:dyDescent="0.35">
      <c r="A416">
        <v>3240</v>
      </c>
      <c r="B416" t="str">
        <f>IF(F416=2020,INDEX(SOC2020_Structure!E:E,MATCH(sectorLookup!A416,SOC2020_Structure!D:D,0)),INDEX(SOC2010_Structure!E:E,MATCH(sectorLookup!A416,SOC2010_Structure!D:D,0)))</f>
        <v>Veterinary nurses</v>
      </c>
      <c r="C416" t="s">
        <v>684</v>
      </c>
      <c r="D416" t="str">
        <f>INDEX('group info'!B:B,MATCH(sectorLookup!C416,'group info'!A:A,0))</f>
        <v>STEM plus medicine and health and other</v>
      </c>
      <c r="E416" t="s">
        <v>322</v>
      </c>
      <c r="F416">
        <v>2020</v>
      </c>
      <c r="G416" t="str">
        <f t="shared" si="6"/>
        <v>STEM plus medicine and health and other SOC2020</v>
      </c>
    </row>
    <row r="417" spans="1:7" x14ac:dyDescent="0.35">
      <c r="A417">
        <v>3311</v>
      </c>
      <c r="B417" t="str">
        <f>IF(F417=2020,INDEX(SOC2020_Structure!E:E,MATCH(sectorLookup!A417,SOC2020_Structure!D:D,0)),INDEX(SOC2010_Structure!E:E,MATCH(sectorLookup!A417,SOC2010_Structure!D:D,0)))</f>
        <v>Non-commissioned officers and other ranks</v>
      </c>
      <c r="C417" t="s">
        <v>684</v>
      </c>
      <c r="D417" t="str">
        <f>INDEX('group info'!B:B,MATCH(sectorLookup!C417,'group info'!A:A,0))</f>
        <v>STEM plus medicine and health and other</v>
      </c>
      <c r="E417" t="s">
        <v>322</v>
      </c>
      <c r="F417">
        <v>2020</v>
      </c>
      <c r="G417" t="str">
        <f t="shared" si="6"/>
        <v>STEM plus medicine and health and other SOC2020</v>
      </c>
    </row>
    <row r="418" spans="1:7" x14ac:dyDescent="0.35">
      <c r="A418">
        <v>3313</v>
      </c>
      <c r="B418" t="str">
        <f>IF(F418=2020,INDEX(SOC2020_Structure!E:E,MATCH(sectorLookup!A418,SOC2020_Structure!D:D,0)),INDEX(SOC2010_Structure!E:E,MATCH(sectorLookup!A418,SOC2010_Structure!D:D,0)))</f>
        <v>Fire service officers (watch manager and below)</v>
      </c>
      <c r="C418" t="s">
        <v>684</v>
      </c>
      <c r="D418" t="str">
        <f>INDEX('group info'!B:B,MATCH(sectorLookup!C418,'group info'!A:A,0))</f>
        <v>STEM plus medicine and health and other</v>
      </c>
      <c r="E418" t="s">
        <v>322</v>
      </c>
      <c r="F418">
        <v>2020</v>
      </c>
      <c r="G418" t="str">
        <f t="shared" si="6"/>
        <v>STEM plus medicine and health and other SOC2020</v>
      </c>
    </row>
    <row r="419" spans="1:7" x14ac:dyDescent="0.35">
      <c r="A419">
        <v>3417</v>
      </c>
      <c r="B419" t="str">
        <f>IF(F419=2020,INDEX(SOC2020_Structure!E:E,MATCH(sectorLookup!A419,SOC2020_Structure!D:D,0)),INDEX(SOC2010_Structure!E:E,MATCH(sectorLookup!A419,SOC2010_Structure!D:D,0)))</f>
        <v>Photographers, audio-visual and broadcasting equipment operators</v>
      </c>
      <c r="C419" t="s">
        <v>684</v>
      </c>
      <c r="D419" t="str">
        <f>INDEX('group info'!B:B,MATCH(sectorLookup!C419,'group info'!A:A,0))</f>
        <v>STEM plus medicine and health and other</v>
      </c>
      <c r="E419" t="s">
        <v>322</v>
      </c>
      <c r="F419">
        <v>2020</v>
      </c>
      <c r="G419" t="str">
        <f t="shared" si="6"/>
        <v>STEM plus medicine and health and other SOC2020</v>
      </c>
    </row>
    <row r="420" spans="1:7" x14ac:dyDescent="0.35">
      <c r="A420">
        <v>3429</v>
      </c>
      <c r="B420" t="str">
        <f>IF(F420=2020,INDEX(SOC2020_Structure!E:E,MATCH(sectorLookup!A420,SOC2020_Structure!D:D,0)),INDEX(SOC2010_Structure!E:E,MATCH(sectorLookup!A420,SOC2010_Structure!D:D,0)))</f>
        <v>Design occupations n.e.c.</v>
      </c>
      <c r="C420" t="s">
        <v>684</v>
      </c>
      <c r="D420" t="str">
        <f>INDEX('group info'!B:B,MATCH(sectorLookup!C420,'group info'!A:A,0))</f>
        <v>STEM plus medicine and health and other</v>
      </c>
      <c r="E420" t="s">
        <v>322</v>
      </c>
      <c r="F420">
        <v>2020</v>
      </c>
      <c r="G420" t="str">
        <f t="shared" si="6"/>
        <v>STEM plus medicine and health and other SOC2020</v>
      </c>
    </row>
    <row r="421" spans="1:7" x14ac:dyDescent="0.35">
      <c r="A421">
        <v>3433</v>
      </c>
      <c r="B421" t="str">
        <f>IF(F421=2020,INDEX(SOC2020_Structure!E:E,MATCH(sectorLookup!A421,SOC2020_Structure!D:D,0)),INDEX(SOC2010_Structure!E:E,MATCH(sectorLookup!A421,SOC2010_Structure!D:D,0)))</f>
        <v>Fitness and wellbeing instructors</v>
      </c>
      <c r="C421" t="s">
        <v>684</v>
      </c>
      <c r="D421" t="str">
        <f>INDEX('group info'!B:B,MATCH(sectorLookup!C421,'group info'!A:A,0))</f>
        <v>STEM plus medicine and health and other</v>
      </c>
      <c r="E421" t="s">
        <v>322</v>
      </c>
      <c r="F421">
        <v>2020</v>
      </c>
      <c r="G421" t="str">
        <f t="shared" si="6"/>
        <v>STEM plus medicine and health and other SOC2020</v>
      </c>
    </row>
    <row r="422" spans="1:7" x14ac:dyDescent="0.35">
      <c r="A422">
        <v>3511</v>
      </c>
      <c r="B422" t="str">
        <f>IF(F422=2020,INDEX(SOC2020_Structure!E:E,MATCH(sectorLookup!A422,SOC2020_Structure!D:D,0)),INDEX(SOC2010_Structure!E:E,MATCH(sectorLookup!A422,SOC2010_Structure!D:D,0)))</f>
        <v>Aircraft pilots and air traffic controllers</v>
      </c>
      <c r="C422" t="s">
        <v>684</v>
      </c>
      <c r="D422" t="str">
        <f>INDEX('group info'!B:B,MATCH(sectorLookup!C422,'group info'!A:A,0))</f>
        <v>STEM plus medicine and health and other</v>
      </c>
      <c r="E422" t="s">
        <v>322</v>
      </c>
      <c r="F422">
        <v>2020</v>
      </c>
      <c r="G422" t="str">
        <f t="shared" si="6"/>
        <v>STEM plus medicine and health and other SOC2020</v>
      </c>
    </row>
    <row r="423" spans="1:7" x14ac:dyDescent="0.35">
      <c r="A423">
        <v>3512</v>
      </c>
      <c r="B423" t="str">
        <f>IF(F423=2020,INDEX(SOC2020_Structure!E:E,MATCH(sectorLookup!A423,SOC2020_Structure!D:D,0)),INDEX(SOC2010_Structure!E:E,MATCH(sectorLookup!A423,SOC2010_Structure!D:D,0)))</f>
        <v>Ship and hovercraft officers</v>
      </c>
      <c r="C423" t="s">
        <v>684</v>
      </c>
      <c r="D423" t="str">
        <f>INDEX('group info'!B:B,MATCH(sectorLookup!C423,'group info'!A:A,0))</f>
        <v>STEM plus medicine and health and other</v>
      </c>
      <c r="E423" t="s">
        <v>322</v>
      </c>
      <c r="F423">
        <v>2020</v>
      </c>
      <c r="G423" t="str">
        <f t="shared" si="6"/>
        <v>STEM plus medicine and health and other SOC2020</v>
      </c>
    </row>
    <row r="424" spans="1:7" x14ac:dyDescent="0.35">
      <c r="A424">
        <v>3531</v>
      </c>
      <c r="B424" t="str">
        <f>IF(F424=2020,INDEX(SOC2020_Structure!E:E,MATCH(sectorLookup!A424,SOC2020_Structure!D:D,0)),INDEX(SOC2010_Structure!E:E,MATCH(sectorLookup!A424,SOC2010_Structure!D:D,0)))</f>
        <v>Brokers</v>
      </c>
      <c r="C424" t="s">
        <v>684</v>
      </c>
      <c r="D424" t="str">
        <f>INDEX('group info'!B:B,MATCH(sectorLookup!C424,'group info'!A:A,0))</f>
        <v>STEM plus medicine and health and other</v>
      </c>
      <c r="E424" t="s">
        <v>322</v>
      </c>
      <c r="F424">
        <v>2020</v>
      </c>
      <c r="G424" t="str">
        <f t="shared" si="6"/>
        <v>STEM plus medicine and health and other SOC2020</v>
      </c>
    </row>
    <row r="425" spans="1:7" x14ac:dyDescent="0.35">
      <c r="A425">
        <v>3532</v>
      </c>
      <c r="B425" t="str">
        <f>IF(F425=2020,INDEX(SOC2020_Structure!E:E,MATCH(sectorLookup!A425,SOC2020_Structure!D:D,0)),INDEX(SOC2010_Structure!E:E,MATCH(sectorLookup!A425,SOC2010_Structure!D:D,0)))</f>
        <v>Insurance underwriters</v>
      </c>
      <c r="C425" t="s">
        <v>684</v>
      </c>
      <c r="D425" t="str">
        <f>INDEX('group info'!B:B,MATCH(sectorLookup!C425,'group info'!A:A,0))</f>
        <v>STEM plus medicine and health and other</v>
      </c>
      <c r="E425" t="s">
        <v>322</v>
      </c>
      <c r="F425">
        <v>2020</v>
      </c>
      <c r="G425" t="str">
        <f t="shared" si="6"/>
        <v>STEM plus medicine and health and other SOC2020</v>
      </c>
    </row>
    <row r="426" spans="1:7" x14ac:dyDescent="0.35">
      <c r="A426">
        <v>3533</v>
      </c>
      <c r="B426" t="str">
        <f>IF(F426=2020,INDEX(SOC2020_Structure!E:E,MATCH(sectorLookup!A426,SOC2020_Structure!D:D,0)),INDEX(SOC2010_Structure!E:E,MATCH(sectorLookup!A426,SOC2010_Structure!D:D,0)))</f>
        <v>Financial and accounting technicians</v>
      </c>
      <c r="C426" t="s">
        <v>684</v>
      </c>
      <c r="D426" t="str">
        <f>INDEX('group info'!B:B,MATCH(sectorLookup!C426,'group info'!A:A,0))</f>
        <v>STEM plus medicine and health and other</v>
      </c>
      <c r="E426" t="s">
        <v>322</v>
      </c>
      <c r="F426">
        <v>2020</v>
      </c>
      <c r="G426" t="str">
        <f t="shared" si="6"/>
        <v>STEM plus medicine and health and other SOC2020</v>
      </c>
    </row>
    <row r="427" spans="1:7" x14ac:dyDescent="0.35">
      <c r="A427">
        <v>3541</v>
      </c>
      <c r="B427" t="str">
        <f>IF(F427=2020,INDEX(SOC2020_Structure!E:E,MATCH(sectorLookup!A427,SOC2020_Structure!D:D,0)),INDEX(SOC2010_Structure!E:E,MATCH(sectorLookup!A427,SOC2010_Structure!D:D,0)))</f>
        <v>Estimators, valuers and assessors</v>
      </c>
      <c r="C427" t="s">
        <v>684</v>
      </c>
      <c r="D427" t="str">
        <f>INDEX('group info'!B:B,MATCH(sectorLookup!C427,'group info'!A:A,0))</f>
        <v>STEM plus medicine and health and other</v>
      </c>
      <c r="E427" t="s">
        <v>322</v>
      </c>
      <c r="F427">
        <v>2020</v>
      </c>
      <c r="G427" t="str">
        <f t="shared" si="6"/>
        <v>STEM plus medicine and health and other SOC2020</v>
      </c>
    </row>
    <row r="428" spans="1:7" x14ac:dyDescent="0.35">
      <c r="A428">
        <v>3544</v>
      </c>
      <c r="B428" t="str">
        <f>IF(F428=2020,INDEX(SOC2020_Structure!E:E,MATCH(sectorLookup!A428,SOC2020_Structure!D:D,0)),INDEX(SOC2010_Structure!E:E,MATCH(sectorLookup!A428,SOC2010_Structure!D:D,0)))</f>
        <v>Data analysts</v>
      </c>
      <c r="C428" t="s">
        <v>684</v>
      </c>
      <c r="D428" t="str">
        <f>INDEX('group info'!B:B,MATCH(sectorLookup!C428,'group info'!A:A,0))</f>
        <v>STEM plus medicine and health and other</v>
      </c>
      <c r="E428" t="s">
        <v>322</v>
      </c>
      <c r="F428">
        <v>2020</v>
      </c>
      <c r="G428" t="str">
        <f t="shared" si="6"/>
        <v>STEM plus medicine and health and other SOC2020</v>
      </c>
    </row>
    <row r="429" spans="1:7" x14ac:dyDescent="0.35">
      <c r="A429">
        <v>3573</v>
      </c>
      <c r="B429" t="str">
        <f>IF(F429=2020,INDEX(SOC2020_Structure!E:E,MATCH(sectorLookup!A429,SOC2020_Structure!D:D,0)),INDEX(SOC2010_Structure!E:E,MATCH(sectorLookup!A429,SOC2010_Structure!D:D,0)))</f>
        <v>Information technology trainers</v>
      </c>
      <c r="C429" t="s">
        <v>684</v>
      </c>
      <c r="D429" t="str">
        <f>INDEX('group info'!B:B,MATCH(sectorLookup!C429,'group info'!A:A,0))</f>
        <v>STEM plus medicine and health and other</v>
      </c>
      <c r="E429" t="s">
        <v>322</v>
      </c>
      <c r="F429">
        <v>2020</v>
      </c>
      <c r="G429" t="str">
        <f t="shared" si="6"/>
        <v>STEM plus medicine and health and other SOC2020</v>
      </c>
    </row>
    <row r="430" spans="1:7" x14ac:dyDescent="0.35">
      <c r="A430">
        <v>3581</v>
      </c>
      <c r="B430" t="str">
        <f>IF(F430=2020,INDEX(SOC2020_Structure!E:E,MATCH(sectorLookup!A430,SOC2020_Structure!D:D,0)),INDEX(SOC2010_Structure!E:E,MATCH(sectorLookup!A430,SOC2010_Structure!D:D,0)))</f>
        <v>Inspectors of standards and regulations</v>
      </c>
      <c r="C430" t="s">
        <v>684</v>
      </c>
      <c r="D430" t="str">
        <f>INDEX('group info'!B:B,MATCH(sectorLookup!C430,'group info'!A:A,0))</f>
        <v>STEM plus medicine and health and other</v>
      </c>
      <c r="E430" t="s">
        <v>322</v>
      </c>
      <c r="F430">
        <v>2020</v>
      </c>
      <c r="G430" t="str">
        <f t="shared" si="6"/>
        <v>STEM plus medicine and health and other SOC2020</v>
      </c>
    </row>
    <row r="431" spans="1:7" x14ac:dyDescent="0.35">
      <c r="A431">
        <v>3582</v>
      </c>
      <c r="B431" t="str">
        <f>IF(F431=2020,INDEX(SOC2020_Structure!E:E,MATCH(sectorLookup!A431,SOC2020_Structure!D:D,0)),INDEX(SOC2010_Structure!E:E,MATCH(sectorLookup!A431,SOC2010_Structure!D:D,0)))</f>
        <v>Health and safety managers and officers</v>
      </c>
      <c r="C431" t="s">
        <v>684</v>
      </c>
      <c r="D431" t="str">
        <f>INDEX('group info'!B:B,MATCH(sectorLookup!C431,'group info'!A:A,0))</f>
        <v>STEM plus medicine and health and other</v>
      </c>
      <c r="E431" t="s">
        <v>322</v>
      </c>
      <c r="F431">
        <v>2020</v>
      </c>
      <c r="G431" t="str">
        <f t="shared" si="6"/>
        <v>STEM plus medicine and health and other SOC2020</v>
      </c>
    </row>
    <row r="432" spans="1:7" x14ac:dyDescent="0.35">
      <c r="A432">
        <v>4121</v>
      </c>
      <c r="B432" t="str">
        <f>IF(F432=2020,INDEX(SOC2020_Structure!E:E,MATCH(sectorLookup!A432,SOC2020_Structure!D:D,0)),INDEX(SOC2010_Structure!E:E,MATCH(sectorLookup!A432,SOC2010_Structure!D:D,0)))</f>
        <v>Credit controllers</v>
      </c>
      <c r="C432" t="s">
        <v>684</v>
      </c>
      <c r="D432" t="str">
        <f>INDEX('group info'!B:B,MATCH(sectorLookup!C432,'group info'!A:A,0))</f>
        <v>STEM plus medicine and health and other</v>
      </c>
      <c r="E432" t="s">
        <v>322</v>
      </c>
      <c r="F432">
        <v>2020</v>
      </c>
      <c r="G432" t="str">
        <f t="shared" si="6"/>
        <v>STEM plus medicine and health and other SOC2020</v>
      </c>
    </row>
    <row r="433" spans="1:7" x14ac:dyDescent="0.35">
      <c r="A433">
        <v>4122</v>
      </c>
      <c r="B433" t="str">
        <f>IF(F433=2020,INDEX(SOC2020_Structure!E:E,MATCH(sectorLookup!A433,SOC2020_Structure!D:D,0)),INDEX(SOC2010_Structure!E:E,MATCH(sectorLookup!A433,SOC2010_Structure!D:D,0)))</f>
        <v>Book-keepers, payroll managers and wages clerks</v>
      </c>
      <c r="C433" t="s">
        <v>684</v>
      </c>
      <c r="D433" t="str">
        <f>INDEX('group info'!B:B,MATCH(sectorLookup!C433,'group info'!A:A,0))</f>
        <v>STEM plus medicine and health and other</v>
      </c>
      <c r="E433" t="s">
        <v>322</v>
      </c>
      <c r="F433">
        <v>2020</v>
      </c>
      <c r="G433" t="str">
        <f t="shared" si="6"/>
        <v>STEM plus medicine and health and other SOC2020</v>
      </c>
    </row>
    <row r="434" spans="1:7" x14ac:dyDescent="0.35">
      <c r="A434">
        <v>4124</v>
      </c>
      <c r="B434" t="str">
        <f>IF(F434=2020,INDEX(SOC2020_Structure!E:E,MATCH(sectorLookup!A434,SOC2020_Structure!D:D,0)),INDEX(SOC2010_Structure!E:E,MATCH(sectorLookup!A434,SOC2010_Structure!D:D,0)))</f>
        <v>Finance officers</v>
      </c>
      <c r="C434" t="s">
        <v>684</v>
      </c>
      <c r="D434" t="str">
        <f>INDEX('group info'!B:B,MATCH(sectorLookup!C434,'group info'!A:A,0))</f>
        <v>STEM plus medicine and health and other</v>
      </c>
      <c r="E434" t="s">
        <v>322</v>
      </c>
      <c r="F434">
        <v>2020</v>
      </c>
      <c r="G434" t="str">
        <f t="shared" si="6"/>
        <v>STEM plus medicine and health and other SOC2020</v>
      </c>
    </row>
    <row r="435" spans="1:7" x14ac:dyDescent="0.35">
      <c r="A435">
        <v>4129</v>
      </c>
      <c r="B435" t="str">
        <f>IF(F435=2020,INDEX(SOC2020_Structure!E:E,MATCH(sectorLookup!A435,SOC2020_Structure!D:D,0)),INDEX(SOC2010_Structure!E:E,MATCH(sectorLookup!A435,SOC2010_Structure!D:D,0)))</f>
        <v>Financial administrative occupations n.e.c.</v>
      </c>
      <c r="C435" t="s">
        <v>684</v>
      </c>
      <c r="D435" t="str">
        <f>INDEX('group info'!B:B,MATCH(sectorLookup!C435,'group info'!A:A,0))</f>
        <v>STEM plus medicine and health and other</v>
      </c>
      <c r="E435" t="s">
        <v>322</v>
      </c>
      <c r="F435">
        <v>2020</v>
      </c>
      <c r="G435" t="str">
        <f t="shared" si="6"/>
        <v>STEM plus medicine and health and other SOC2020</v>
      </c>
    </row>
    <row r="436" spans="1:7" x14ac:dyDescent="0.35">
      <c r="A436">
        <v>5211</v>
      </c>
      <c r="B436" t="str">
        <f>IF(F436=2020,INDEX(SOC2020_Structure!E:E,MATCH(sectorLookup!A436,SOC2020_Structure!D:D,0)),INDEX(SOC2010_Structure!E:E,MATCH(sectorLookup!A436,SOC2010_Structure!D:D,0)))</f>
        <v>Sheet metal workers</v>
      </c>
      <c r="C436" t="s">
        <v>684</v>
      </c>
      <c r="D436" t="str">
        <f>INDEX('group info'!B:B,MATCH(sectorLookup!C436,'group info'!A:A,0))</f>
        <v>STEM plus medicine and health and other</v>
      </c>
      <c r="E436" t="s">
        <v>322</v>
      </c>
      <c r="F436">
        <v>2020</v>
      </c>
      <c r="G436" t="str">
        <f t="shared" si="6"/>
        <v>STEM plus medicine and health and other SOC2020</v>
      </c>
    </row>
    <row r="437" spans="1:7" x14ac:dyDescent="0.35">
      <c r="A437">
        <v>5212</v>
      </c>
      <c r="B437" t="str">
        <f>IF(F437=2020,INDEX(SOC2020_Structure!E:E,MATCH(sectorLookup!A437,SOC2020_Structure!D:D,0)),INDEX(SOC2010_Structure!E:E,MATCH(sectorLookup!A437,SOC2010_Structure!D:D,0)))</f>
        <v>Metal plate workers, smiths, moulders and related occupations</v>
      </c>
      <c r="C437" t="s">
        <v>684</v>
      </c>
      <c r="D437" t="str">
        <f>INDEX('group info'!B:B,MATCH(sectorLookup!C437,'group info'!A:A,0))</f>
        <v>STEM plus medicine and health and other</v>
      </c>
      <c r="E437" t="s">
        <v>322</v>
      </c>
      <c r="F437">
        <v>2020</v>
      </c>
      <c r="G437" t="str">
        <f t="shared" si="6"/>
        <v>STEM plus medicine and health and other SOC2020</v>
      </c>
    </row>
    <row r="438" spans="1:7" x14ac:dyDescent="0.35">
      <c r="A438">
        <v>5213</v>
      </c>
      <c r="B438" t="str">
        <f>IF(F438=2020,INDEX(SOC2020_Structure!E:E,MATCH(sectorLookup!A438,SOC2020_Structure!D:D,0)),INDEX(SOC2010_Structure!E:E,MATCH(sectorLookup!A438,SOC2010_Structure!D:D,0)))</f>
        <v>Welding trades</v>
      </c>
      <c r="C438" t="s">
        <v>684</v>
      </c>
      <c r="D438" t="str">
        <f>INDEX('group info'!B:B,MATCH(sectorLookup!C438,'group info'!A:A,0))</f>
        <v>STEM plus medicine and health and other</v>
      </c>
      <c r="E438" t="s">
        <v>322</v>
      </c>
      <c r="F438">
        <v>2020</v>
      </c>
      <c r="G438" t="str">
        <f t="shared" si="6"/>
        <v>STEM plus medicine and health and other SOC2020</v>
      </c>
    </row>
    <row r="439" spans="1:7" x14ac:dyDescent="0.35">
      <c r="A439">
        <v>5214</v>
      </c>
      <c r="B439" t="str">
        <f>IF(F439=2020,INDEX(SOC2020_Structure!E:E,MATCH(sectorLookup!A439,SOC2020_Structure!D:D,0)),INDEX(SOC2010_Structure!E:E,MATCH(sectorLookup!A439,SOC2010_Structure!D:D,0)))</f>
        <v>Pipe fitters</v>
      </c>
      <c r="C439" t="s">
        <v>684</v>
      </c>
      <c r="D439" t="str">
        <f>INDEX('group info'!B:B,MATCH(sectorLookup!C439,'group info'!A:A,0))</f>
        <v>STEM plus medicine and health and other</v>
      </c>
      <c r="E439" t="s">
        <v>322</v>
      </c>
      <c r="F439">
        <v>2020</v>
      </c>
      <c r="G439" t="str">
        <f t="shared" si="6"/>
        <v>STEM plus medicine and health and other SOC2020</v>
      </c>
    </row>
    <row r="440" spans="1:7" x14ac:dyDescent="0.35">
      <c r="A440">
        <v>5221</v>
      </c>
      <c r="B440" t="str">
        <f>IF(F440=2020,INDEX(SOC2020_Structure!E:E,MATCH(sectorLookup!A440,SOC2020_Structure!D:D,0)),INDEX(SOC2010_Structure!E:E,MATCH(sectorLookup!A440,SOC2010_Structure!D:D,0)))</f>
        <v>Metal machining setters and setter-operators</v>
      </c>
      <c r="C440" t="s">
        <v>684</v>
      </c>
      <c r="D440" t="str">
        <f>INDEX('group info'!B:B,MATCH(sectorLookup!C440,'group info'!A:A,0))</f>
        <v>STEM plus medicine and health and other</v>
      </c>
      <c r="E440" t="s">
        <v>322</v>
      </c>
      <c r="F440">
        <v>2020</v>
      </c>
      <c r="G440" t="str">
        <f t="shared" si="6"/>
        <v>STEM plus medicine and health and other SOC2020</v>
      </c>
    </row>
    <row r="441" spans="1:7" x14ac:dyDescent="0.35">
      <c r="A441">
        <v>5222</v>
      </c>
      <c r="B441" t="str">
        <f>IF(F441=2020,INDEX(SOC2020_Structure!E:E,MATCH(sectorLookup!A441,SOC2020_Structure!D:D,0)),INDEX(SOC2010_Structure!E:E,MATCH(sectorLookup!A441,SOC2010_Structure!D:D,0)))</f>
        <v>Tool makers, tool fitters and markers-out</v>
      </c>
      <c r="C441" t="s">
        <v>684</v>
      </c>
      <c r="D441" t="str">
        <f>INDEX('group info'!B:B,MATCH(sectorLookup!C441,'group info'!A:A,0))</f>
        <v>STEM plus medicine and health and other</v>
      </c>
      <c r="E441" t="s">
        <v>322</v>
      </c>
      <c r="F441">
        <v>2020</v>
      </c>
      <c r="G441" t="str">
        <f t="shared" si="6"/>
        <v>STEM plus medicine and health and other SOC2020</v>
      </c>
    </row>
    <row r="442" spans="1:7" x14ac:dyDescent="0.35">
      <c r="A442">
        <v>5223</v>
      </c>
      <c r="B442" t="str">
        <f>IF(F442=2020,INDEX(SOC2020_Structure!E:E,MATCH(sectorLookup!A442,SOC2020_Structure!D:D,0)),INDEX(SOC2010_Structure!E:E,MATCH(sectorLookup!A442,SOC2010_Structure!D:D,0)))</f>
        <v>Metal working production and maintenance fitters</v>
      </c>
      <c r="C442" t="s">
        <v>684</v>
      </c>
      <c r="D442" t="str">
        <f>INDEX('group info'!B:B,MATCH(sectorLookup!C442,'group info'!A:A,0))</f>
        <v>STEM plus medicine and health and other</v>
      </c>
      <c r="E442" t="s">
        <v>322</v>
      </c>
      <c r="F442">
        <v>2020</v>
      </c>
      <c r="G442" t="str">
        <f t="shared" si="6"/>
        <v>STEM plus medicine and health and other SOC2020</v>
      </c>
    </row>
    <row r="443" spans="1:7" x14ac:dyDescent="0.35">
      <c r="A443">
        <v>5224</v>
      </c>
      <c r="B443" t="str">
        <f>IF(F443=2020,INDEX(SOC2020_Structure!E:E,MATCH(sectorLookup!A443,SOC2020_Structure!D:D,0)),INDEX(SOC2010_Structure!E:E,MATCH(sectorLookup!A443,SOC2010_Structure!D:D,0)))</f>
        <v>Precision instrument makers and repairers</v>
      </c>
      <c r="C443" t="s">
        <v>684</v>
      </c>
      <c r="D443" t="str">
        <f>INDEX('group info'!B:B,MATCH(sectorLookup!C443,'group info'!A:A,0))</f>
        <v>STEM plus medicine and health and other</v>
      </c>
      <c r="E443" t="s">
        <v>322</v>
      </c>
      <c r="F443">
        <v>2020</v>
      </c>
      <c r="G443" t="str">
        <f t="shared" si="6"/>
        <v>STEM plus medicine and health and other SOC2020</v>
      </c>
    </row>
    <row r="444" spans="1:7" x14ac:dyDescent="0.35">
      <c r="A444">
        <v>5225</v>
      </c>
      <c r="B444" t="str">
        <f>IF(F444=2020,INDEX(SOC2020_Structure!E:E,MATCH(sectorLookup!A444,SOC2020_Structure!D:D,0)),INDEX(SOC2010_Structure!E:E,MATCH(sectorLookup!A444,SOC2010_Structure!D:D,0)))</f>
        <v>Air-conditioning and refrigeration installers and repairers</v>
      </c>
      <c r="C444" t="s">
        <v>684</v>
      </c>
      <c r="D444" t="str">
        <f>INDEX('group info'!B:B,MATCH(sectorLookup!C444,'group info'!A:A,0))</f>
        <v>STEM plus medicine and health and other</v>
      </c>
      <c r="E444" t="s">
        <v>322</v>
      </c>
      <c r="F444">
        <v>2020</v>
      </c>
      <c r="G444" t="str">
        <f t="shared" si="6"/>
        <v>STEM plus medicine and health and other SOC2020</v>
      </c>
    </row>
    <row r="445" spans="1:7" x14ac:dyDescent="0.35">
      <c r="A445">
        <v>5231</v>
      </c>
      <c r="B445" t="str">
        <f>IF(F445=2020,INDEX(SOC2020_Structure!E:E,MATCH(sectorLookup!A445,SOC2020_Structure!D:D,0)),INDEX(SOC2010_Structure!E:E,MATCH(sectorLookup!A445,SOC2010_Structure!D:D,0)))</f>
        <v>Vehicle technicians, mechanics and electricians</v>
      </c>
      <c r="C445" t="s">
        <v>684</v>
      </c>
      <c r="D445" t="str">
        <f>INDEX('group info'!B:B,MATCH(sectorLookup!C445,'group info'!A:A,0))</f>
        <v>STEM plus medicine and health and other</v>
      </c>
      <c r="E445" t="s">
        <v>322</v>
      </c>
      <c r="F445">
        <v>2020</v>
      </c>
      <c r="G445" t="str">
        <f t="shared" si="6"/>
        <v>STEM plus medicine and health and other SOC2020</v>
      </c>
    </row>
    <row r="446" spans="1:7" x14ac:dyDescent="0.35">
      <c r="A446">
        <v>5232</v>
      </c>
      <c r="B446" t="str">
        <f>IF(F446=2020,INDEX(SOC2020_Structure!E:E,MATCH(sectorLookup!A446,SOC2020_Structure!D:D,0)),INDEX(SOC2010_Structure!E:E,MATCH(sectorLookup!A446,SOC2010_Structure!D:D,0)))</f>
        <v>Vehicle body builders and repairers</v>
      </c>
      <c r="C446" t="s">
        <v>684</v>
      </c>
      <c r="D446" t="str">
        <f>INDEX('group info'!B:B,MATCH(sectorLookup!C446,'group info'!A:A,0))</f>
        <v>STEM plus medicine and health and other</v>
      </c>
      <c r="E446" t="s">
        <v>322</v>
      </c>
      <c r="F446">
        <v>2020</v>
      </c>
      <c r="G446" t="str">
        <f t="shared" si="6"/>
        <v>STEM plus medicine and health and other SOC2020</v>
      </c>
    </row>
    <row r="447" spans="1:7" x14ac:dyDescent="0.35">
      <c r="A447">
        <v>5233</v>
      </c>
      <c r="B447" t="str">
        <f>IF(F447=2020,INDEX(SOC2020_Structure!E:E,MATCH(sectorLookup!A447,SOC2020_Structure!D:D,0)),INDEX(SOC2010_Structure!E:E,MATCH(sectorLookup!A447,SOC2010_Structure!D:D,0)))</f>
        <v>Vehicle paint technicians</v>
      </c>
      <c r="C447" t="s">
        <v>684</v>
      </c>
      <c r="D447" t="str">
        <f>INDEX('group info'!B:B,MATCH(sectorLookup!C447,'group info'!A:A,0))</f>
        <v>STEM plus medicine and health and other</v>
      </c>
      <c r="E447" t="s">
        <v>322</v>
      </c>
      <c r="F447">
        <v>2020</v>
      </c>
      <c r="G447" t="str">
        <f t="shared" si="6"/>
        <v>STEM plus medicine and health and other SOC2020</v>
      </c>
    </row>
    <row r="448" spans="1:7" x14ac:dyDescent="0.35">
      <c r="A448">
        <v>5234</v>
      </c>
      <c r="B448" t="str">
        <f>IF(F448=2020,INDEX(SOC2020_Structure!E:E,MATCH(sectorLookup!A448,SOC2020_Structure!D:D,0)),INDEX(SOC2010_Structure!E:E,MATCH(sectorLookup!A448,SOC2010_Structure!D:D,0)))</f>
        <v>Aircraft maintenance and related trades</v>
      </c>
      <c r="C448" t="s">
        <v>684</v>
      </c>
      <c r="D448" t="str">
        <f>INDEX('group info'!B:B,MATCH(sectorLookup!C448,'group info'!A:A,0))</f>
        <v>STEM plus medicine and health and other</v>
      </c>
      <c r="E448" t="s">
        <v>322</v>
      </c>
      <c r="F448">
        <v>2020</v>
      </c>
      <c r="G448" t="str">
        <f t="shared" si="6"/>
        <v>STEM plus medicine and health and other SOC2020</v>
      </c>
    </row>
    <row r="449" spans="1:7" x14ac:dyDescent="0.35">
      <c r="A449">
        <v>5235</v>
      </c>
      <c r="B449" t="str">
        <f>IF(F449=2020,INDEX(SOC2020_Structure!E:E,MATCH(sectorLookup!A449,SOC2020_Structure!D:D,0)),INDEX(SOC2010_Structure!E:E,MATCH(sectorLookup!A449,SOC2010_Structure!D:D,0)))</f>
        <v>Boat and ship builders and repairers</v>
      </c>
      <c r="C449" t="s">
        <v>684</v>
      </c>
      <c r="D449" t="str">
        <f>INDEX('group info'!B:B,MATCH(sectorLookup!C449,'group info'!A:A,0))</f>
        <v>STEM plus medicine and health and other</v>
      </c>
      <c r="E449" t="s">
        <v>322</v>
      </c>
      <c r="F449">
        <v>2020</v>
      </c>
      <c r="G449" t="str">
        <f t="shared" si="6"/>
        <v>STEM plus medicine and health and other SOC2020</v>
      </c>
    </row>
    <row r="450" spans="1:7" x14ac:dyDescent="0.35">
      <c r="A450">
        <v>5236</v>
      </c>
      <c r="B450" t="str">
        <f>IF(F450=2020,INDEX(SOC2020_Structure!E:E,MATCH(sectorLookup!A450,SOC2020_Structure!D:D,0)),INDEX(SOC2010_Structure!E:E,MATCH(sectorLookup!A450,SOC2010_Structure!D:D,0)))</f>
        <v>Rail and rolling stock builders and repairers</v>
      </c>
      <c r="C450" t="s">
        <v>684</v>
      </c>
      <c r="D450" t="str">
        <f>INDEX('group info'!B:B,MATCH(sectorLookup!C450,'group info'!A:A,0))</f>
        <v>STEM plus medicine and health and other</v>
      </c>
      <c r="E450" t="s">
        <v>322</v>
      </c>
      <c r="F450">
        <v>2020</v>
      </c>
      <c r="G450" t="str">
        <f t="shared" si="6"/>
        <v>STEM plus medicine and health and other SOC2020</v>
      </c>
    </row>
    <row r="451" spans="1:7" x14ac:dyDescent="0.35">
      <c r="A451">
        <v>5241</v>
      </c>
      <c r="B451" t="str">
        <f>IF(F451=2020,INDEX(SOC2020_Structure!E:E,MATCH(sectorLookup!A451,SOC2020_Structure!D:D,0)),INDEX(SOC2010_Structure!E:E,MATCH(sectorLookup!A451,SOC2010_Structure!D:D,0)))</f>
        <v>Electricians and electrical fitters</v>
      </c>
      <c r="C451" t="s">
        <v>684</v>
      </c>
      <c r="D451" t="str">
        <f>INDEX('group info'!B:B,MATCH(sectorLookup!C451,'group info'!A:A,0))</f>
        <v>STEM plus medicine and health and other</v>
      </c>
      <c r="E451" t="s">
        <v>322</v>
      </c>
      <c r="F451">
        <v>2020</v>
      </c>
      <c r="G451" t="str">
        <f t="shared" ref="G451:G514" si="7">D451&amp;" SOC"&amp;F451</f>
        <v>STEM plus medicine and health and other SOC2020</v>
      </c>
    </row>
    <row r="452" spans="1:7" x14ac:dyDescent="0.35">
      <c r="A452">
        <v>5242</v>
      </c>
      <c r="B452" t="str">
        <f>IF(F452=2020,INDEX(SOC2020_Structure!E:E,MATCH(sectorLookup!A452,SOC2020_Structure!D:D,0)),INDEX(SOC2010_Structure!E:E,MATCH(sectorLookup!A452,SOC2010_Structure!D:D,0)))</f>
        <v>Telecoms and related network installers and repairers</v>
      </c>
      <c r="C452" t="s">
        <v>684</v>
      </c>
      <c r="D452" t="str">
        <f>INDEX('group info'!B:B,MATCH(sectorLookup!C452,'group info'!A:A,0))</f>
        <v>STEM plus medicine and health and other</v>
      </c>
      <c r="E452" t="s">
        <v>322</v>
      </c>
      <c r="F452">
        <v>2020</v>
      </c>
      <c r="G452" t="str">
        <f t="shared" si="7"/>
        <v>STEM plus medicine and health and other SOC2020</v>
      </c>
    </row>
    <row r="453" spans="1:7" x14ac:dyDescent="0.35">
      <c r="A453">
        <v>5243</v>
      </c>
      <c r="B453" t="str">
        <f>IF(F453=2020,INDEX(SOC2020_Structure!E:E,MATCH(sectorLookup!A453,SOC2020_Structure!D:D,0)),INDEX(SOC2010_Structure!E:E,MATCH(sectorLookup!A453,SOC2010_Structure!D:D,0)))</f>
        <v>TV, video and audio servicers and repairers</v>
      </c>
      <c r="C453" t="s">
        <v>684</v>
      </c>
      <c r="D453" t="str">
        <f>INDEX('group info'!B:B,MATCH(sectorLookup!C453,'group info'!A:A,0))</f>
        <v>STEM plus medicine and health and other</v>
      </c>
      <c r="E453" t="s">
        <v>322</v>
      </c>
      <c r="F453">
        <v>2020</v>
      </c>
      <c r="G453" t="str">
        <f t="shared" si="7"/>
        <v>STEM plus medicine and health and other SOC2020</v>
      </c>
    </row>
    <row r="454" spans="1:7" x14ac:dyDescent="0.35">
      <c r="A454">
        <v>5244</v>
      </c>
      <c r="B454" t="str">
        <f>IF(F454=2020,INDEX(SOC2020_Structure!E:E,MATCH(sectorLookup!A454,SOC2020_Structure!D:D,0)),INDEX(SOC2010_Structure!E:E,MATCH(sectorLookup!A454,SOC2010_Structure!D:D,0)))</f>
        <v>Computer system and equipment installers and servicers</v>
      </c>
      <c r="C454" t="s">
        <v>684</v>
      </c>
      <c r="D454" t="str">
        <f>INDEX('group info'!B:B,MATCH(sectorLookup!C454,'group info'!A:A,0))</f>
        <v>STEM plus medicine and health and other</v>
      </c>
      <c r="E454" t="s">
        <v>322</v>
      </c>
      <c r="F454">
        <v>2020</v>
      </c>
      <c r="G454" t="str">
        <f t="shared" si="7"/>
        <v>STEM plus medicine and health and other SOC2020</v>
      </c>
    </row>
    <row r="455" spans="1:7" x14ac:dyDescent="0.35">
      <c r="A455">
        <v>5245</v>
      </c>
      <c r="B455" t="str">
        <f>IF(F455=2020,INDEX(SOC2020_Structure!E:E,MATCH(sectorLookup!A455,SOC2020_Structure!D:D,0)),INDEX(SOC2010_Structure!E:E,MATCH(sectorLookup!A455,SOC2010_Structure!D:D,0)))</f>
        <v>Security system installers and repairers</v>
      </c>
      <c r="C455" t="s">
        <v>684</v>
      </c>
      <c r="D455" t="str">
        <f>INDEX('group info'!B:B,MATCH(sectorLookup!C455,'group info'!A:A,0))</f>
        <v>STEM plus medicine and health and other</v>
      </c>
      <c r="E455" t="s">
        <v>322</v>
      </c>
      <c r="F455">
        <v>2020</v>
      </c>
      <c r="G455" t="str">
        <f t="shared" si="7"/>
        <v>STEM plus medicine and health and other SOC2020</v>
      </c>
    </row>
    <row r="456" spans="1:7" x14ac:dyDescent="0.35">
      <c r="A456">
        <v>5246</v>
      </c>
      <c r="B456" t="str">
        <f>IF(F456=2020,INDEX(SOC2020_Structure!E:E,MATCH(sectorLookup!A456,SOC2020_Structure!D:D,0)),INDEX(SOC2010_Structure!E:E,MATCH(sectorLookup!A456,SOC2010_Structure!D:D,0)))</f>
        <v>Electrical service and maintenance mechanics and repairers</v>
      </c>
      <c r="C456" t="s">
        <v>684</v>
      </c>
      <c r="D456" t="str">
        <f>INDEX('group info'!B:B,MATCH(sectorLookup!C456,'group info'!A:A,0))</f>
        <v>STEM plus medicine and health and other</v>
      </c>
      <c r="E456" t="s">
        <v>322</v>
      </c>
      <c r="F456">
        <v>2020</v>
      </c>
      <c r="G456" t="str">
        <f t="shared" si="7"/>
        <v>STEM plus medicine and health and other SOC2020</v>
      </c>
    </row>
    <row r="457" spans="1:7" x14ac:dyDescent="0.35">
      <c r="A457">
        <v>5249</v>
      </c>
      <c r="B457" t="str">
        <f>IF(F457=2020,INDEX(SOC2020_Structure!E:E,MATCH(sectorLookup!A457,SOC2020_Structure!D:D,0)),INDEX(SOC2010_Structure!E:E,MATCH(sectorLookup!A457,SOC2010_Structure!D:D,0)))</f>
        <v>Electrical and electronic trades n.e.c.</v>
      </c>
      <c r="C457" t="s">
        <v>684</v>
      </c>
      <c r="D457" t="str">
        <f>INDEX('group info'!B:B,MATCH(sectorLookup!C457,'group info'!A:A,0))</f>
        <v>STEM plus medicine and health and other</v>
      </c>
      <c r="E457" t="s">
        <v>322</v>
      </c>
      <c r="F457">
        <v>2020</v>
      </c>
      <c r="G457" t="str">
        <f t="shared" si="7"/>
        <v>STEM plus medicine and health and other SOC2020</v>
      </c>
    </row>
    <row r="458" spans="1:7" x14ac:dyDescent="0.35">
      <c r="A458">
        <v>5250</v>
      </c>
      <c r="B458" t="str">
        <f>IF(F458=2020,INDEX(SOC2020_Structure!E:E,MATCH(sectorLookup!A458,SOC2020_Structure!D:D,0)),INDEX(SOC2010_Structure!E:E,MATCH(sectorLookup!A458,SOC2010_Structure!D:D,0)))</f>
        <v>Skilled metal, electrical and electronic trades supervisors</v>
      </c>
      <c r="C458" t="s">
        <v>684</v>
      </c>
      <c r="D458" t="str">
        <f>INDEX('group info'!B:B,MATCH(sectorLookup!C458,'group info'!A:A,0))</f>
        <v>STEM plus medicine and health and other</v>
      </c>
      <c r="E458" t="s">
        <v>322</v>
      </c>
      <c r="F458">
        <v>2020</v>
      </c>
      <c r="G458" t="str">
        <f t="shared" si="7"/>
        <v>STEM plus medicine and health and other SOC2020</v>
      </c>
    </row>
    <row r="459" spans="1:7" x14ac:dyDescent="0.35">
      <c r="A459">
        <v>5311</v>
      </c>
      <c r="B459" t="str">
        <f>IF(F459=2020,INDEX(SOC2020_Structure!E:E,MATCH(sectorLookup!A459,SOC2020_Structure!D:D,0)),INDEX(SOC2010_Structure!E:E,MATCH(sectorLookup!A459,SOC2010_Structure!D:D,0)))</f>
        <v>Steel erectors</v>
      </c>
      <c r="C459" t="s">
        <v>684</v>
      </c>
      <c r="D459" t="str">
        <f>INDEX('group info'!B:B,MATCH(sectorLookup!C459,'group info'!A:A,0))</f>
        <v>STEM plus medicine and health and other</v>
      </c>
      <c r="E459" t="s">
        <v>322</v>
      </c>
      <c r="F459">
        <v>2020</v>
      </c>
      <c r="G459" t="str">
        <f t="shared" si="7"/>
        <v>STEM plus medicine and health and other SOC2020</v>
      </c>
    </row>
    <row r="460" spans="1:7" x14ac:dyDescent="0.35">
      <c r="A460">
        <v>5312</v>
      </c>
      <c r="B460" t="str">
        <f>IF(F460=2020,INDEX(SOC2020_Structure!E:E,MATCH(sectorLookup!A460,SOC2020_Structure!D:D,0)),INDEX(SOC2010_Structure!E:E,MATCH(sectorLookup!A460,SOC2010_Structure!D:D,0)))</f>
        <v>Stonemasons and related trades</v>
      </c>
      <c r="C460" t="s">
        <v>684</v>
      </c>
      <c r="D460" t="str">
        <f>INDEX('group info'!B:B,MATCH(sectorLookup!C460,'group info'!A:A,0))</f>
        <v>STEM plus medicine and health and other</v>
      </c>
      <c r="E460" t="s">
        <v>322</v>
      </c>
      <c r="F460">
        <v>2020</v>
      </c>
      <c r="G460" t="str">
        <f t="shared" si="7"/>
        <v>STEM plus medicine and health and other SOC2020</v>
      </c>
    </row>
    <row r="461" spans="1:7" x14ac:dyDescent="0.35">
      <c r="A461">
        <v>5313</v>
      </c>
      <c r="B461" t="str">
        <f>IF(F461=2020,INDEX(SOC2020_Structure!E:E,MATCH(sectorLookup!A461,SOC2020_Structure!D:D,0)),INDEX(SOC2010_Structure!E:E,MATCH(sectorLookup!A461,SOC2010_Structure!D:D,0)))</f>
        <v>Bricklayers</v>
      </c>
      <c r="C461" t="s">
        <v>684</v>
      </c>
      <c r="D461" t="str">
        <f>INDEX('group info'!B:B,MATCH(sectorLookup!C461,'group info'!A:A,0))</f>
        <v>STEM plus medicine and health and other</v>
      </c>
      <c r="E461" t="s">
        <v>322</v>
      </c>
      <c r="F461">
        <v>2020</v>
      </c>
      <c r="G461" t="str">
        <f t="shared" si="7"/>
        <v>STEM plus medicine and health and other SOC2020</v>
      </c>
    </row>
    <row r="462" spans="1:7" x14ac:dyDescent="0.35">
      <c r="A462">
        <v>5314</v>
      </c>
      <c r="B462" t="str">
        <f>IF(F462=2020,INDEX(SOC2020_Structure!E:E,MATCH(sectorLookup!A462,SOC2020_Structure!D:D,0)),INDEX(SOC2010_Structure!E:E,MATCH(sectorLookup!A462,SOC2010_Structure!D:D,0)))</f>
        <v>Roofers, roof tilers and slaters</v>
      </c>
      <c r="C462" t="s">
        <v>684</v>
      </c>
      <c r="D462" t="str">
        <f>INDEX('group info'!B:B,MATCH(sectorLookup!C462,'group info'!A:A,0))</f>
        <v>STEM plus medicine and health and other</v>
      </c>
      <c r="E462" t="s">
        <v>322</v>
      </c>
      <c r="F462">
        <v>2020</v>
      </c>
      <c r="G462" t="str">
        <f t="shared" si="7"/>
        <v>STEM plus medicine and health and other SOC2020</v>
      </c>
    </row>
    <row r="463" spans="1:7" x14ac:dyDescent="0.35">
      <c r="A463">
        <v>5315</v>
      </c>
      <c r="B463" t="str">
        <f>IF(F463=2020,INDEX(SOC2020_Structure!E:E,MATCH(sectorLookup!A463,SOC2020_Structure!D:D,0)),INDEX(SOC2010_Structure!E:E,MATCH(sectorLookup!A463,SOC2010_Structure!D:D,0)))</f>
        <v>Plumbers and heating and ventilating installers and repairers</v>
      </c>
      <c r="C463" t="s">
        <v>684</v>
      </c>
      <c r="D463" t="str">
        <f>INDEX('group info'!B:B,MATCH(sectorLookup!C463,'group info'!A:A,0))</f>
        <v>STEM plus medicine and health and other</v>
      </c>
      <c r="E463" t="s">
        <v>322</v>
      </c>
      <c r="F463">
        <v>2020</v>
      </c>
      <c r="G463" t="str">
        <f t="shared" si="7"/>
        <v>STEM plus medicine and health and other SOC2020</v>
      </c>
    </row>
    <row r="464" spans="1:7" x14ac:dyDescent="0.35">
      <c r="A464">
        <v>5316</v>
      </c>
      <c r="B464" t="str">
        <f>IF(F464=2020,INDEX(SOC2020_Structure!E:E,MATCH(sectorLookup!A464,SOC2020_Structure!D:D,0)),INDEX(SOC2010_Structure!E:E,MATCH(sectorLookup!A464,SOC2010_Structure!D:D,0)))</f>
        <v>Carpenters and joiners</v>
      </c>
      <c r="C464" t="s">
        <v>684</v>
      </c>
      <c r="D464" t="str">
        <f>INDEX('group info'!B:B,MATCH(sectorLookup!C464,'group info'!A:A,0))</f>
        <v>STEM plus medicine and health and other</v>
      </c>
      <c r="E464" t="s">
        <v>322</v>
      </c>
      <c r="F464">
        <v>2020</v>
      </c>
      <c r="G464" t="str">
        <f t="shared" si="7"/>
        <v>STEM plus medicine and health and other SOC2020</v>
      </c>
    </row>
    <row r="465" spans="1:7" x14ac:dyDescent="0.35">
      <c r="A465">
        <v>5317</v>
      </c>
      <c r="B465" t="str">
        <f>IF(F465=2020,INDEX(SOC2020_Structure!E:E,MATCH(sectorLookup!A465,SOC2020_Structure!D:D,0)),INDEX(SOC2010_Structure!E:E,MATCH(sectorLookup!A465,SOC2010_Structure!D:D,0)))</f>
        <v>Glaziers, window fabricators and fitters</v>
      </c>
      <c r="C465" t="s">
        <v>684</v>
      </c>
      <c r="D465" t="str">
        <f>INDEX('group info'!B:B,MATCH(sectorLookup!C465,'group info'!A:A,0))</f>
        <v>STEM plus medicine and health and other</v>
      </c>
      <c r="E465" t="s">
        <v>322</v>
      </c>
      <c r="F465">
        <v>2020</v>
      </c>
      <c r="G465" t="str">
        <f t="shared" si="7"/>
        <v>STEM plus medicine and health and other SOC2020</v>
      </c>
    </row>
    <row r="466" spans="1:7" x14ac:dyDescent="0.35">
      <c r="A466">
        <v>5319</v>
      </c>
      <c r="B466" t="str">
        <f>IF(F466=2020,INDEX(SOC2020_Structure!E:E,MATCH(sectorLookup!A466,SOC2020_Structure!D:D,0)),INDEX(SOC2010_Structure!E:E,MATCH(sectorLookup!A466,SOC2010_Structure!D:D,0)))</f>
        <v>Construction and building trades n.e.c.</v>
      </c>
      <c r="C466" t="s">
        <v>684</v>
      </c>
      <c r="D466" t="str">
        <f>INDEX('group info'!B:B,MATCH(sectorLookup!C466,'group info'!A:A,0))</f>
        <v>STEM plus medicine and health and other</v>
      </c>
      <c r="E466" t="s">
        <v>322</v>
      </c>
      <c r="F466">
        <v>2020</v>
      </c>
      <c r="G466" t="str">
        <f t="shared" si="7"/>
        <v>STEM plus medicine and health and other SOC2020</v>
      </c>
    </row>
    <row r="467" spans="1:7" x14ac:dyDescent="0.35">
      <c r="A467">
        <v>5330</v>
      </c>
      <c r="B467" t="str">
        <f>IF(F467=2020,INDEX(SOC2020_Structure!E:E,MATCH(sectorLookup!A467,SOC2020_Structure!D:D,0)),INDEX(SOC2010_Structure!E:E,MATCH(sectorLookup!A467,SOC2010_Structure!D:D,0)))</f>
        <v>Construction and building trades supervisors</v>
      </c>
      <c r="C467" t="s">
        <v>684</v>
      </c>
      <c r="D467" t="str">
        <f>INDEX('group info'!B:B,MATCH(sectorLookup!C467,'group info'!A:A,0))</f>
        <v>STEM plus medicine and health and other</v>
      </c>
      <c r="E467" t="s">
        <v>322</v>
      </c>
      <c r="F467">
        <v>2020</v>
      </c>
      <c r="G467" t="str">
        <f t="shared" si="7"/>
        <v>STEM plus medicine and health and other SOC2020</v>
      </c>
    </row>
    <row r="468" spans="1:7" x14ac:dyDescent="0.35">
      <c r="A468">
        <v>5421</v>
      </c>
      <c r="B468" t="str">
        <f>IF(F468=2020,INDEX(SOC2020_Structure!E:E,MATCH(sectorLookup!A468,SOC2020_Structure!D:D,0)),INDEX(SOC2010_Structure!E:E,MATCH(sectorLookup!A468,SOC2010_Structure!D:D,0)))</f>
        <v>Pre-press technicians</v>
      </c>
      <c r="C468" t="s">
        <v>684</v>
      </c>
      <c r="D468" t="str">
        <f>INDEX('group info'!B:B,MATCH(sectorLookup!C468,'group info'!A:A,0))</f>
        <v>STEM plus medicine and health and other</v>
      </c>
      <c r="E468" t="s">
        <v>322</v>
      </c>
      <c r="F468">
        <v>2020</v>
      </c>
      <c r="G468" t="str">
        <f t="shared" si="7"/>
        <v>STEM plus medicine and health and other SOC2020</v>
      </c>
    </row>
    <row r="469" spans="1:7" x14ac:dyDescent="0.35">
      <c r="A469">
        <v>5422</v>
      </c>
      <c r="B469" t="str">
        <f>IF(F469=2020,INDEX(SOC2020_Structure!E:E,MATCH(sectorLookup!A469,SOC2020_Structure!D:D,0)),INDEX(SOC2010_Structure!E:E,MATCH(sectorLookup!A469,SOC2010_Structure!D:D,0)))</f>
        <v>Printers</v>
      </c>
      <c r="C469" t="s">
        <v>684</v>
      </c>
      <c r="D469" t="str">
        <f>INDEX('group info'!B:B,MATCH(sectorLookup!C469,'group info'!A:A,0))</f>
        <v>STEM plus medicine and health and other</v>
      </c>
      <c r="E469" t="s">
        <v>322</v>
      </c>
      <c r="F469">
        <v>2020</v>
      </c>
      <c r="G469" t="str">
        <f t="shared" si="7"/>
        <v>STEM plus medicine and health and other SOC2020</v>
      </c>
    </row>
    <row r="470" spans="1:7" x14ac:dyDescent="0.35">
      <c r="A470">
        <v>6121</v>
      </c>
      <c r="B470" t="str">
        <f>IF(F470=2020,INDEX(SOC2020_Structure!E:E,MATCH(sectorLookup!A470,SOC2020_Structure!D:D,0)),INDEX(SOC2010_Structure!E:E,MATCH(sectorLookup!A470,SOC2010_Structure!D:D,0)))</f>
        <v>Pest control officers</v>
      </c>
      <c r="C470" t="s">
        <v>684</v>
      </c>
      <c r="D470" t="str">
        <f>INDEX('group info'!B:B,MATCH(sectorLookup!C470,'group info'!A:A,0))</f>
        <v>STEM plus medicine and health and other</v>
      </c>
      <c r="E470" t="s">
        <v>322</v>
      </c>
      <c r="F470">
        <v>2020</v>
      </c>
      <c r="G470" t="str">
        <f t="shared" si="7"/>
        <v>STEM plus medicine and health and other SOC2020</v>
      </c>
    </row>
    <row r="471" spans="1:7" x14ac:dyDescent="0.35">
      <c r="A471">
        <v>6129</v>
      </c>
      <c r="B471" t="str">
        <f>IF(F471=2020,INDEX(SOC2020_Structure!E:E,MATCH(sectorLookup!A471,SOC2020_Structure!D:D,0)),INDEX(SOC2010_Structure!E:E,MATCH(sectorLookup!A471,SOC2010_Structure!D:D,0)))</f>
        <v>Animal care services occupations n.e.c.</v>
      </c>
      <c r="C471" t="s">
        <v>684</v>
      </c>
      <c r="D471" t="str">
        <f>INDEX('group info'!B:B,MATCH(sectorLookup!C471,'group info'!A:A,0))</f>
        <v>STEM plus medicine and health and other</v>
      </c>
      <c r="E471" t="s">
        <v>322</v>
      </c>
      <c r="F471">
        <v>2020</v>
      </c>
      <c r="G471" t="str">
        <f t="shared" si="7"/>
        <v>STEM plus medicine and health and other SOC2020</v>
      </c>
    </row>
    <row r="472" spans="1:7" x14ac:dyDescent="0.35">
      <c r="A472">
        <v>6131</v>
      </c>
      <c r="B472" t="str">
        <f>IF(F472=2020,INDEX(SOC2020_Structure!E:E,MATCH(sectorLookup!A472,SOC2020_Structure!D:D,0)),INDEX(SOC2010_Structure!E:E,MATCH(sectorLookup!A472,SOC2010_Structure!D:D,0)))</f>
        <v>Nursing auxiliaries and assistants</v>
      </c>
      <c r="C472" t="s">
        <v>684</v>
      </c>
      <c r="D472" t="str">
        <f>INDEX('group info'!B:B,MATCH(sectorLookup!C472,'group info'!A:A,0))</f>
        <v>STEM plus medicine and health and other</v>
      </c>
      <c r="E472" t="s">
        <v>322</v>
      </c>
      <c r="F472">
        <v>2020</v>
      </c>
      <c r="G472" t="str">
        <f t="shared" si="7"/>
        <v>STEM plus medicine and health and other SOC2020</v>
      </c>
    </row>
    <row r="473" spans="1:7" x14ac:dyDescent="0.35">
      <c r="A473">
        <v>6132</v>
      </c>
      <c r="B473" t="str">
        <f>IF(F473=2020,INDEX(SOC2020_Structure!E:E,MATCH(sectorLookup!A473,SOC2020_Structure!D:D,0)),INDEX(SOC2010_Structure!E:E,MATCH(sectorLookup!A473,SOC2010_Structure!D:D,0)))</f>
        <v>Ambulance staff (excluding paramedics)</v>
      </c>
      <c r="C473" t="s">
        <v>684</v>
      </c>
      <c r="D473" t="str">
        <f>INDEX('group info'!B:B,MATCH(sectorLookup!C473,'group info'!A:A,0))</f>
        <v>STEM plus medicine and health and other</v>
      </c>
      <c r="E473" t="s">
        <v>322</v>
      </c>
      <c r="F473">
        <v>2020</v>
      </c>
      <c r="G473" t="str">
        <f t="shared" si="7"/>
        <v>STEM plus medicine and health and other SOC2020</v>
      </c>
    </row>
    <row r="474" spans="1:7" x14ac:dyDescent="0.35">
      <c r="A474">
        <v>6133</v>
      </c>
      <c r="B474" t="str">
        <f>IF(F474=2020,INDEX(SOC2020_Structure!E:E,MATCH(sectorLookup!A474,SOC2020_Structure!D:D,0)),INDEX(SOC2010_Structure!E:E,MATCH(sectorLookup!A474,SOC2010_Structure!D:D,0)))</f>
        <v>Dental nurses</v>
      </c>
      <c r="C474" t="s">
        <v>684</v>
      </c>
      <c r="D474" t="str">
        <f>INDEX('group info'!B:B,MATCH(sectorLookup!C474,'group info'!A:A,0))</f>
        <v>STEM plus medicine and health and other</v>
      </c>
      <c r="E474" t="s">
        <v>322</v>
      </c>
      <c r="F474">
        <v>2020</v>
      </c>
      <c r="G474" t="str">
        <f t="shared" si="7"/>
        <v>STEM plus medicine and health and other SOC2020</v>
      </c>
    </row>
    <row r="475" spans="1:7" x14ac:dyDescent="0.35">
      <c r="A475">
        <v>7114</v>
      </c>
      <c r="B475" t="str">
        <f>IF(F475=2020,INDEX(SOC2020_Structure!E:E,MATCH(sectorLookup!A475,SOC2020_Structure!D:D,0)),INDEX(SOC2010_Structure!E:E,MATCH(sectorLookup!A475,SOC2010_Structure!D:D,0)))</f>
        <v>Pharmacy and optical dispensing assistants</v>
      </c>
      <c r="C475" t="s">
        <v>684</v>
      </c>
      <c r="D475" t="str">
        <f>INDEX('group info'!B:B,MATCH(sectorLookup!C475,'group info'!A:A,0))</f>
        <v>STEM plus medicine and health and other</v>
      </c>
      <c r="E475" t="s">
        <v>322</v>
      </c>
      <c r="F475">
        <v>2020</v>
      </c>
      <c r="G475" t="str">
        <f t="shared" si="7"/>
        <v>STEM plus medicine and health and other SOC2020</v>
      </c>
    </row>
    <row r="476" spans="1:7" x14ac:dyDescent="0.35">
      <c r="A476">
        <v>8113</v>
      </c>
      <c r="B476" t="str">
        <f>IF(F476=2020,INDEX(SOC2020_Structure!E:E,MATCH(sectorLookup!A476,SOC2020_Structure!D:D,0)),INDEX(SOC2010_Structure!E:E,MATCH(sectorLookup!A476,SOC2010_Structure!D:D,0)))</f>
        <v>Chemical and related process operatives</v>
      </c>
      <c r="C476" t="s">
        <v>684</v>
      </c>
      <c r="D476" t="str">
        <f>INDEX('group info'!B:B,MATCH(sectorLookup!C476,'group info'!A:A,0))</f>
        <v>STEM plus medicine and health and other</v>
      </c>
      <c r="E476" t="s">
        <v>322</v>
      </c>
      <c r="F476">
        <v>2020</v>
      </c>
      <c r="G476" t="str">
        <f t="shared" si="7"/>
        <v>STEM plus medicine and health and other SOC2020</v>
      </c>
    </row>
    <row r="477" spans="1:7" x14ac:dyDescent="0.35">
      <c r="A477">
        <v>8114</v>
      </c>
      <c r="B477" t="str">
        <f>IF(F477=2020,INDEX(SOC2020_Structure!E:E,MATCH(sectorLookup!A477,SOC2020_Structure!D:D,0)),INDEX(SOC2010_Structure!E:E,MATCH(sectorLookup!A477,SOC2010_Structure!D:D,0)))</f>
        <v>Plastics process operatives</v>
      </c>
      <c r="C477" t="s">
        <v>684</v>
      </c>
      <c r="D477" t="str">
        <f>INDEX('group info'!B:B,MATCH(sectorLookup!C477,'group info'!A:A,0))</f>
        <v>STEM plus medicine and health and other</v>
      </c>
      <c r="E477" t="s">
        <v>322</v>
      </c>
      <c r="F477">
        <v>2020</v>
      </c>
      <c r="G477" t="str">
        <f t="shared" si="7"/>
        <v>STEM plus medicine and health and other SOC2020</v>
      </c>
    </row>
    <row r="478" spans="1:7" x14ac:dyDescent="0.35">
      <c r="A478">
        <v>8115</v>
      </c>
      <c r="B478" t="str">
        <f>IF(F478=2020,INDEX(SOC2020_Structure!E:E,MATCH(sectorLookup!A478,SOC2020_Structure!D:D,0)),INDEX(SOC2010_Structure!E:E,MATCH(sectorLookup!A478,SOC2010_Structure!D:D,0)))</f>
        <v>Metal making and treating process operatives</v>
      </c>
      <c r="C478" t="s">
        <v>684</v>
      </c>
      <c r="D478" t="str">
        <f>INDEX('group info'!B:B,MATCH(sectorLookup!C478,'group info'!A:A,0))</f>
        <v>STEM plus medicine and health and other</v>
      </c>
      <c r="E478" t="s">
        <v>322</v>
      </c>
      <c r="F478">
        <v>2020</v>
      </c>
      <c r="G478" t="str">
        <f t="shared" si="7"/>
        <v>STEM plus medicine and health and other SOC2020</v>
      </c>
    </row>
    <row r="479" spans="1:7" x14ac:dyDescent="0.35">
      <c r="A479">
        <v>8119</v>
      </c>
      <c r="B479" t="str">
        <f>IF(F479=2020,INDEX(SOC2020_Structure!E:E,MATCH(sectorLookup!A479,SOC2020_Structure!D:D,0)),INDEX(SOC2010_Structure!E:E,MATCH(sectorLookup!A479,SOC2010_Structure!D:D,0)))</f>
        <v>Process operatives n.e.c.</v>
      </c>
      <c r="C479" t="s">
        <v>684</v>
      </c>
      <c r="D479" t="str">
        <f>INDEX('group info'!B:B,MATCH(sectorLookup!C479,'group info'!A:A,0))</f>
        <v>STEM plus medicine and health and other</v>
      </c>
      <c r="E479" t="s">
        <v>322</v>
      </c>
      <c r="F479">
        <v>2020</v>
      </c>
      <c r="G479" t="str">
        <f t="shared" si="7"/>
        <v>STEM plus medicine and health and other SOC2020</v>
      </c>
    </row>
    <row r="480" spans="1:7" x14ac:dyDescent="0.35">
      <c r="A480">
        <v>8120</v>
      </c>
      <c r="B480" t="str">
        <f>IF(F480=2020,INDEX(SOC2020_Structure!E:E,MATCH(sectorLookup!A480,SOC2020_Structure!D:D,0)),INDEX(SOC2010_Structure!E:E,MATCH(sectorLookup!A480,SOC2010_Structure!D:D,0)))</f>
        <v>Metal working machine operatives</v>
      </c>
      <c r="C480" t="s">
        <v>684</v>
      </c>
      <c r="D480" t="str">
        <f>INDEX('group info'!B:B,MATCH(sectorLookup!C480,'group info'!A:A,0))</f>
        <v>STEM plus medicine and health and other</v>
      </c>
      <c r="E480" t="s">
        <v>322</v>
      </c>
      <c r="F480">
        <v>2020</v>
      </c>
      <c r="G480" t="str">
        <f t="shared" si="7"/>
        <v>STEM plus medicine and health and other SOC2020</v>
      </c>
    </row>
    <row r="481" spans="1:7" x14ac:dyDescent="0.35">
      <c r="A481">
        <v>8131</v>
      </c>
      <c r="B481" t="str">
        <f>IF(F481=2020,INDEX(SOC2020_Structure!E:E,MATCH(sectorLookup!A481,SOC2020_Structure!D:D,0)),INDEX(SOC2010_Structure!E:E,MATCH(sectorLookup!A481,SOC2010_Structure!D:D,0)))</f>
        <v>Paper and wood machine operatives</v>
      </c>
      <c r="C481" t="s">
        <v>684</v>
      </c>
      <c r="D481" t="str">
        <f>INDEX('group info'!B:B,MATCH(sectorLookup!C481,'group info'!A:A,0))</f>
        <v>STEM plus medicine and health and other</v>
      </c>
      <c r="E481" t="s">
        <v>322</v>
      </c>
      <c r="F481">
        <v>2020</v>
      </c>
      <c r="G481" t="str">
        <f t="shared" si="7"/>
        <v>STEM plus medicine and health and other SOC2020</v>
      </c>
    </row>
    <row r="482" spans="1:7" x14ac:dyDescent="0.35">
      <c r="A482">
        <v>8132</v>
      </c>
      <c r="B482" t="str">
        <f>IF(F482=2020,INDEX(SOC2020_Structure!E:E,MATCH(sectorLookup!A482,SOC2020_Structure!D:D,0)),INDEX(SOC2010_Structure!E:E,MATCH(sectorLookup!A482,SOC2010_Structure!D:D,0)))</f>
        <v>Mining and quarry workers and related operatives</v>
      </c>
      <c r="C482" t="s">
        <v>684</v>
      </c>
      <c r="D482" t="str">
        <f>INDEX('group info'!B:B,MATCH(sectorLookup!C482,'group info'!A:A,0))</f>
        <v>STEM plus medicine and health and other</v>
      </c>
      <c r="E482" t="s">
        <v>322</v>
      </c>
      <c r="F482">
        <v>2020</v>
      </c>
      <c r="G482" t="str">
        <f t="shared" si="7"/>
        <v>STEM plus medicine and health and other SOC2020</v>
      </c>
    </row>
    <row r="483" spans="1:7" x14ac:dyDescent="0.35">
      <c r="A483">
        <v>8133</v>
      </c>
      <c r="B483" t="str">
        <f>IF(F483=2020,INDEX(SOC2020_Structure!E:E,MATCH(sectorLookup!A483,SOC2020_Structure!D:D,0)),INDEX(SOC2010_Structure!E:E,MATCH(sectorLookup!A483,SOC2010_Structure!D:D,0)))</f>
        <v>Energy plant operatives</v>
      </c>
      <c r="C483" t="s">
        <v>684</v>
      </c>
      <c r="D483" t="str">
        <f>INDEX('group info'!B:B,MATCH(sectorLookup!C483,'group info'!A:A,0))</f>
        <v>STEM plus medicine and health and other</v>
      </c>
      <c r="E483" t="s">
        <v>322</v>
      </c>
      <c r="F483">
        <v>2020</v>
      </c>
      <c r="G483" t="str">
        <f t="shared" si="7"/>
        <v>STEM plus medicine and health and other SOC2020</v>
      </c>
    </row>
    <row r="484" spans="1:7" x14ac:dyDescent="0.35">
      <c r="A484">
        <v>8134</v>
      </c>
      <c r="B484" t="str">
        <f>IF(F484=2020,INDEX(SOC2020_Structure!E:E,MATCH(sectorLookup!A484,SOC2020_Structure!D:D,0)),INDEX(SOC2010_Structure!E:E,MATCH(sectorLookup!A484,SOC2010_Structure!D:D,0)))</f>
        <v>Water and sewerage plant operatives</v>
      </c>
      <c r="C484" t="s">
        <v>684</v>
      </c>
      <c r="D484" t="str">
        <f>INDEX('group info'!B:B,MATCH(sectorLookup!C484,'group info'!A:A,0))</f>
        <v>STEM plus medicine and health and other</v>
      </c>
      <c r="E484" t="s">
        <v>322</v>
      </c>
      <c r="F484">
        <v>2020</v>
      </c>
      <c r="G484" t="str">
        <f t="shared" si="7"/>
        <v>STEM plus medicine and health and other SOC2020</v>
      </c>
    </row>
    <row r="485" spans="1:7" x14ac:dyDescent="0.35">
      <c r="A485">
        <v>8139</v>
      </c>
      <c r="B485" t="str">
        <f>IF(F485=2020,INDEX(SOC2020_Structure!E:E,MATCH(sectorLookup!A485,SOC2020_Structure!D:D,0)),INDEX(SOC2010_Structure!E:E,MATCH(sectorLookup!A485,SOC2010_Structure!D:D,0)))</f>
        <v>Plant and machine operatives n.e.c.</v>
      </c>
      <c r="C485" t="s">
        <v>684</v>
      </c>
      <c r="D485" t="str">
        <f>INDEX('group info'!B:B,MATCH(sectorLookup!C485,'group info'!A:A,0))</f>
        <v>STEM plus medicine and health and other</v>
      </c>
      <c r="E485" t="s">
        <v>322</v>
      </c>
      <c r="F485">
        <v>2020</v>
      </c>
      <c r="G485" t="str">
        <f t="shared" si="7"/>
        <v>STEM plus medicine and health and other SOC2020</v>
      </c>
    </row>
    <row r="486" spans="1:7" x14ac:dyDescent="0.35">
      <c r="A486">
        <v>8141</v>
      </c>
      <c r="B486" t="str">
        <f>IF(F486=2020,INDEX(SOC2020_Structure!E:E,MATCH(sectorLookup!A486,SOC2020_Structure!D:D,0)),INDEX(SOC2010_Structure!E:E,MATCH(sectorLookup!A486,SOC2010_Structure!D:D,0)))</f>
        <v>Assemblers (electrical and electronic products)</v>
      </c>
      <c r="C486" t="s">
        <v>684</v>
      </c>
      <c r="D486" t="str">
        <f>INDEX('group info'!B:B,MATCH(sectorLookup!C486,'group info'!A:A,0))</f>
        <v>STEM plus medicine and health and other</v>
      </c>
      <c r="E486" t="s">
        <v>322</v>
      </c>
      <c r="F486">
        <v>2020</v>
      </c>
      <c r="G486" t="str">
        <f t="shared" si="7"/>
        <v>STEM plus medicine and health and other SOC2020</v>
      </c>
    </row>
    <row r="487" spans="1:7" x14ac:dyDescent="0.35">
      <c r="A487">
        <v>8142</v>
      </c>
      <c r="B487" t="str">
        <f>IF(F487=2020,INDEX(SOC2020_Structure!E:E,MATCH(sectorLookup!A487,SOC2020_Structure!D:D,0)),INDEX(SOC2010_Structure!E:E,MATCH(sectorLookup!A487,SOC2010_Structure!D:D,0)))</f>
        <v>Assemblers (vehicles and metal goods)</v>
      </c>
      <c r="C487" t="s">
        <v>684</v>
      </c>
      <c r="D487" t="str">
        <f>INDEX('group info'!B:B,MATCH(sectorLookup!C487,'group info'!A:A,0))</f>
        <v>STEM plus medicine and health and other</v>
      </c>
      <c r="E487" t="s">
        <v>322</v>
      </c>
      <c r="F487">
        <v>2020</v>
      </c>
      <c r="G487" t="str">
        <f t="shared" si="7"/>
        <v>STEM plus medicine and health and other SOC2020</v>
      </c>
    </row>
    <row r="488" spans="1:7" x14ac:dyDescent="0.35">
      <c r="A488">
        <v>8143</v>
      </c>
      <c r="B488" t="str">
        <f>IF(F488=2020,INDEX(SOC2020_Structure!E:E,MATCH(sectorLookup!A488,SOC2020_Structure!D:D,0)),INDEX(SOC2010_Structure!E:E,MATCH(sectorLookup!A488,SOC2010_Structure!D:D,0)))</f>
        <v>Routine inspectors and testers</v>
      </c>
      <c r="C488" t="s">
        <v>684</v>
      </c>
      <c r="D488" t="str">
        <f>INDEX('group info'!B:B,MATCH(sectorLookup!C488,'group info'!A:A,0))</f>
        <v>STEM plus medicine and health and other</v>
      </c>
      <c r="E488" t="s">
        <v>322</v>
      </c>
      <c r="F488">
        <v>2020</v>
      </c>
      <c r="G488" t="str">
        <f t="shared" si="7"/>
        <v>STEM plus medicine and health and other SOC2020</v>
      </c>
    </row>
    <row r="489" spans="1:7" x14ac:dyDescent="0.35">
      <c r="A489">
        <v>8145</v>
      </c>
      <c r="B489" t="str">
        <f>IF(F489=2020,INDEX(SOC2020_Structure!E:E,MATCH(sectorLookup!A489,SOC2020_Structure!D:D,0)),INDEX(SOC2010_Structure!E:E,MATCH(sectorLookup!A489,SOC2010_Structure!D:D,0)))</f>
        <v>Tyre, exhaust and windscreen fitters</v>
      </c>
      <c r="C489" t="s">
        <v>684</v>
      </c>
      <c r="D489" t="str">
        <f>INDEX('group info'!B:B,MATCH(sectorLookup!C489,'group info'!A:A,0))</f>
        <v>STEM plus medicine and health and other</v>
      </c>
      <c r="E489" t="s">
        <v>322</v>
      </c>
      <c r="F489">
        <v>2020</v>
      </c>
      <c r="G489" t="str">
        <f t="shared" si="7"/>
        <v>STEM plus medicine and health and other SOC2020</v>
      </c>
    </row>
    <row r="490" spans="1:7" x14ac:dyDescent="0.35">
      <c r="A490">
        <v>8151</v>
      </c>
      <c r="B490" t="str">
        <f>IF(F490=2020,INDEX(SOC2020_Structure!E:E,MATCH(sectorLookup!A490,SOC2020_Structure!D:D,0)),INDEX(SOC2010_Structure!E:E,MATCH(sectorLookup!A490,SOC2010_Structure!D:D,0)))</f>
        <v>Scaffolders, stagers and riggers</v>
      </c>
      <c r="C490" t="s">
        <v>684</v>
      </c>
      <c r="D490" t="str">
        <f>INDEX('group info'!B:B,MATCH(sectorLookup!C490,'group info'!A:A,0))</f>
        <v>STEM plus medicine and health and other</v>
      </c>
      <c r="E490" t="s">
        <v>322</v>
      </c>
      <c r="F490">
        <v>2020</v>
      </c>
      <c r="G490" t="str">
        <f t="shared" si="7"/>
        <v>STEM plus medicine and health and other SOC2020</v>
      </c>
    </row>
    <row r="491" spans="1:7" x14ac:dyDescent="0.35">
      <c r="A491">
        <v>8152</v>
      </c>
      <c r="B491" t="str">
        <f>IF(F491=2020,INDEX(SOC2020_Structure!E:E,MATCH(sectorLookup!A491,SOC2020_Structure!D:D,0)),INDEX(SOC2010_Structure!E:E,MATCH(sectorLookup!A491,SOC2010_Structure!D:D,0)))</f>
        <v>Road construction operatives</v>
      </c>
      <c r="C491" t="s">
        <v>684</v>
      </c>
      <c r="D491" t="str">
        <f>INDEX('group info'!B:B,MATCH(sectorLookup!C491,'group info'!A:A,0))</f>
        <v>STEM plus medicine and health and other</v>
      </c>
      <c r="E491" t="s">
        <v>322</v>
      </c>
      <c r="F491">
        <v>2020</v>
      </c>
      <c r="G491" t="str">
        <f t="shared" si="7"/>
        <v>STEM plus medicine and health and other SOC2020</v>
      </c>
    </row>
    <row r="492" spans="1:7" x14ac:dyDescent="0.35">
      <c r="A492">
        <v>8153</v>
      </c>
      <c r="B492" t="str">
        <f>IF(F492=2020,INDEX(SOC2020_Structure!E:E,MATCH(sectorLookup!A492,SOC2020_Structure!D:D,0)),INDEX(SOC2010_Structure!E:E,MATCH(sectorLookup!A492,SOC2010_Structure!D:D,0)))</f>
        <v>Rail construction and maintenance operatives</v>
      </c>
      <c r="C492" t="s">
        <v>684</v>
      </c>
      <c r="D492" t="str">
        <f>INDEX('group info'!B:B,MATCH(sectorLookup!C492,'group info'!A:A,0))</f>
        <v>STEM plus medicine and health and other</v>
      </c>
      <c r="E492" t="s">
        <v>322</v>
      </c>
      <c r="F492">
        <v>2020</v>
      </c>
      <c r="G492" t="str">
        <f t="shared" si="7"/>
        <v>STEM plus medicine and health and other SOC2020</v>
      </c>
    </row>
    <row r="493" spans="1:7" x14ac:dyDescent="0.35">
      <c r="A493">
        <v>8159</v>
      </c>
      <c r="B493" t="str">
        <f>IF(F493=2020,INDEX(SOC2020_Structure!E:E,MATCH(sectorLookup!A493,SOC2020_Structure!D:D,0)),INDEX(SOC2010_Structure!E:E,MATCH(sectorLookup!A493,SOC2010_Structure!D:D,0)))</f>
        <v>Construction operatives n.e.c.</v>
      </c>
      <c r="C493" t="s">
        <v>684</v>
      </c>
      <c r="D493" t="str">
        <f>INDEX('group info'!B:B,MATCH(sectorLookup!C493,'group info'!A:A,0))</f>
        <v>STEM plus medicine and health and other</v>
      </c>
      <c r="E493" t="s">
        <v>322</v>
      </c>
      <c r="F493">
        <v>2020</v>
      </c>
      <c r="G493" t="str">
        <f t="shared" si="7"/>
        <v>STEM plus medicine and health and other SOC2020</v>
      </c>
    </row>
    <row r="494" spans="1:7" x14ac:dyDescent="0.35">
      <c r="A494">
        <v>8160</v>
      </c>
      <c r="B494" t="str">
        <f>IF(F494=2020,INDEX(SOC2020_Structure!E:E,MATCH(sectorLookup!A494,SOC2020_Structure!D:D,0)),INDEX(SOC2010_Structure!E:E,MATCH(sectorLookup!A494,SOC2010_Structure!D:D,0)))</f>
        <v>Production, factory and assembly supervisors</v>
      </c>
      <c r="C494" t="s">
        <v>684</v>
      </c>
      <c r="D494" t="str">
        <f>INDEX('group info'!B:B,MATCH(sectorLookup!C494,'group info'!A:A,0))</f>
        <v>STEM plus medicine and health and other</v>
      </c>
      <c r="E494" t="s">
        <v>322</v>
      </c>
      <c r="F494">
        <v>2020</v>
      </c>
      <c r="G494" t="str">
        <f t="shared" si="7"/>
        <v>STEM plus medicine and health and other SOC2020</v>
      </c>
    </row>
    <row r="495" spans="1:7" x14ac:dyDescent="0.35">
      <c r="A495">
        <v>8221</v>
      </c>
      <c r="B495" t="str">
        <f>IF(F495=2020,INDEX(SOC2020_Structure!E:E,MATCH(sectorLookup!A495,SOC2020_Structure!D:D,0)),INDEX(SOC2010_Structure!E:E,MATCH(sectorLookup!A495,SOC2010_Structure!D:D,0)))</f>
        <v>Crane drivers</v>
      </c>
      <c r="C495" t="s">
        <v>684</v>
      </c>
      <c r="D495" t="str">
        <f>INDEX('group info'!B:B,MATCH(sectorLookup!C495,'group info'!A:A,0))</f>
        <v>STEM plus medicine and health and other</v>
      </c>
      <c r="E495" t="s">
        <v>322</v>
      </c>
      <c r="F495">
        <v>2020</v>
      </c>
      <c r="G495" t="str">
        <f t="shared" si="7"/>
        <v>STEM plus medicine and health and other SOC2020</v>
      </c>
    </row>
    <row r="496" spans="1:7" x14ac:dyDescent="0.35">
      <c r="A496">
        <v>8232</v>
      </c>
      <c r="B496" t="str">
        <f>IF(F496=2020,INDEX(SOC2020_Structure!E:E,MATCH(sectorLookup!A496,SOC2020_Structure!D:D,0)),INDEX(SOC2010_Structure!E:E,MATCH(sectorLookup!A496,SOC2010_Structure!D:D,0)))</f>
        <v>Marine and waterways transport operatives</v>
      </c>
      <c r="C496" t="s">
        <v>684</v>
      </c>
      <c r="D496" t="str">
        <f>INDEX('group info'!B:B,MATCH(sectorLookup!C496,'group info'!A:A,0))</f>
        <v>STEM plus medicine and health and other</v>
      </c>
      <c r="E496" t="s">
        <v>322</v>
      </c>
      <c r="F496">
        <v>2020</v>
      </c>
      <c r="G496" t="str">
        <f t="shared" si="7"/>
        <v>STEM plus medicine and health and other SOC2020</v>
      </c>
    </row>
    <row r="497" spans="1:7" x14ac:dyDescent="0.35">
      <c r="A497">
        <v>1121</v>
      </c>
      <c r="B497" t="str">
        <f>IF(F497=2020,INDEX(SOC2020_Structure!E:E,MATCH(sectorLookup!A497,SOC2020_Structure!D:D,0)),INDEX(SOC2010_Structure!E:E,MATCH(sectorLookup!A497,SOC2010_Structure!D:D,0)))</f>
        <v>Production managers and directors in manufacturing</v>
      </c>
      <c r="C497" t="s">
        <v>683</v>
      </c>
      <c r="D497" t="str">
        <f>INDEX('group info'!B:B,MATCH(sectorLookup!C497,'group info'!A:A,0))</f>
        <v>STEM</v>
      </c>
      <c r="E497" t="s">
        <v>322</v>
      </c>
      <c r="F497">
        <v>2020</v>
      </c>
      <c r="G497" t="str">
        <f t="shared" si="7"/>
        <v>STEM SOC2020</v>
      </c>
    </row>
    <row r="498" spans="1:7" x14ac:dyDescent="0.35">
      <c r="A498">
        <v>1122</v>
      </c>
      <c r="B498" t="str">
        <f>IF(F498=2020,INDEX(SOC2020_Structure!E:E,MATCH(sectorLookup!A498,SOC2020_Structure!D:D,0)),INDEX(SOC2010_Structure!E:E,MATCH(sectorLookup!A498,SOC2010_Structure!D:D,0)))</f>
        <v>Production managers and directors in construction</v>
      </c>
      <c r="C498" t="s">
        <v>683</v>
      </c>
      <c r="D498" t="str">
        <f>INDEX('group info'!B:B,MATCH(sectorLookup!C498,'group info'!A:A,0))</f>
        <v>STEM</v>
      </c>
      <c r="E498" t="s">
        <v>322</v>
      </c>
      <c r="F498">
        <v>2020</v>
      </c>
      <c r="G498" t="str">
        <f t="shared" si="7"/>
        <v>STEM SOC2020</v>
      </c>
    </row>
    <row r="499" spans="1:7" x14ac:dyDescent="0.35">
      <c r="A499">
        <v>1123</v>
      </c>
      <c r="B499" t="str">
        <f>IF(F499=2020,INDEX(SOC2020_Structure!E:E,MATCH(sectorLookup!A499,SOC2020_Structure!D:D,0)),INDEX(SOC2010_Structure!E:E,MATCH(sectorLookup!A499,SOC2010_Structure!D:D,0)))</f>
        <v>Production managers and directors in mining and energy</v>
      </c>
      <c r="C499" t="s">
        <v>683</v>
      </c>
      <c r="D499" t="str">
        <f>INDEX('group info'!B:B,MATCH(sectorLookup!C499,'group info'!A:A,0))</f>
        <v>STEM</v>
      </c>
      <c r="E499" t="s">
        <v>322</v>
      </c>
      <c r="F499">
        <v>2020</v>
      </c>
      <c r="G499" t="str">
        <f t="shared" si="7"/>
        <v>STEM SOC2020</v>
      </c>
    </row>
    <row r="500" spans="1:7" x14ac:dyDescent="0.35">
      <c r="A500">
        <v>1137</v>
      </c>
      <c r="B500" t="str">
        <f>IF(F500=2020,INDEX(SOC2020_Structure!E:E,MATCH(sectorLookup!A500,SOC2020_Structure!D:D,0)),INDEX(SOC2010_Structure!E:E,MATCH(sectorLookup!A500,SOC2010_Structure!D:D,0)))</f>
        <v>Information technology managers directors</v>
      </c>
      <c r="C500" t="s">
        <v>683</v>
      </c>
      <c r="D500" t="str">
        <f>INDEX('group info'!B:B,MATCH(sectorLookup!C500,'group info'!A:A,0))</f>
        <v>STEM</v>
      </c>
      <c r="E500" t="s">
        <v>322</v>
      </c>
      <c r="F500">
        <v>2020</v>
      </c>
      <c r="G500" t="str">
        <f t="shared" si="7"/>
        <v>STEM SOC2020</v>
      </c>
    </row>
    <row r="501" spans="1:7" x14ac:dyDescent="0.35">
      <c r="A501">
        <v>1161</v>
      </c>
      <c r="B501" t="str">
        <f>IF(F501=2020,INDEX(SOC2020_Structure!E:E,MATCH(sectorLookup!A501,SOC2020_Structure!D:D,0)),INDEX(SOC2010_Structure!E:E,MATCH(sectorLookup!A501,SOC2010_Structure!D:D,0)))</f>
        <v>Officers in armed forces</v>
      </c>
      <c r="C501" t="s">
        <v>683</v>
      </c>
      <c r="D501" t="str">
        <f>INDEX('group info'!B:B,MATCH(sectorLookup!C501,'group info'!A:A,0))</f>
        <v>STEM</v>
      </c>
      <c r="E501" t="s">
        <v>322</v>
      </c>
      <c r="F501">
        <v>2020</v>
      </c>
      <c r="G501" t="str">
        <f t="shared" si="7"/>
        <v>STEM SOC2020</v>
      </c>
    </row>
    <row r="502" spans="1:7" x14ac:dyDescent="0.35">
      <c r="A502">
        <v>1211</v>
      </c>
      <c r="B502" t="str">
        <f>IF(F502=2020,INDEX(SOC2020_Structure!E:E,MATCH(sectorLookup!A502,SOC2020_Structure!D:D,0)),INDEX(SOC2010_Structure!E:E,MATCH(sectorLookup!A502,SOC2010_Structure!D:D,0)))</f>
        <v>Managers and proprietors in agriculture and horticulture</v>
      </c>
      <c r="C502" t="s">
        <v>683</v>
      </c>
      <c r="D502" t="str">
        <f>INDEX('group info'!B:B,MATCH(sectorLookup!C502,'group info'!A:A,0))</f>
        <v>STEM</v>
      </c>
      <c r="E502" t="s">
        <v>322</v>
      </c>
      <c r="F502">
        <v>2020</v>
      </c>
      <c r="G502" t="str">
        <f t="shared" si="7"/>
        <v>STEM SOC2020</v>
      </c>
    </row>
    <row r="503" spans="1:7" x14ac:dyDescent="0.35">
      <c r="A503">
        <v>1254</v>
      </c>
      <c r="B503" t="str">
        <f>IF(F503=2020,INDEX(SOC2020_Structure!E:E,MATCH(sectorLookup!A503,SOC2020_Structure!D:D,0)),INDEX(SOC2010_Structure!E:E,MATCH(sectorLookup!A503,SOC2010_Structure!D:D,0)))</f>
        <v>Waste disposal and environmental services managers</v>
      </c>
      <c r="C503" t="s">
        <v>683</v>
      </c>
      <c r="D503" t="str">
        <f>INDEX('group info'!B:B,MATCH(sectorLookup!C503,'group info'!A:A,0))</f>
        <v>STEM</v>
      </c>
      <c r="E503" t="s">
        <v>322</v>
      </c>
      <c r="F503">
        <v>2020</v>
      </c>
      <c r="G503" t="str">
        <f t="shared" si="7"/>
        <v>STEM SOC2020</v>
      </c>
    </row>
    <row r="504" spans="1:7" x14ac:dyDescent="0.35">
      <c r="A504">
        <v>2111</v>
      </c>
      <c r="B504" t="str">
        <f>IF(F504=2020,INDEX(SOC2020_Structure!E:E,MATCH(sectorLookup!A504,SOC2020_Structure!D:D,0)),INDEX(SOC2010_Structure!E:E,MATCH(sectorLookup!A504,SOC2010_Structure!D:D,0)))</f>
        <v>Chemical scientists</v>
      </c>
      <c r="C504" t="s">
        <v>683</v>
      </c>
      <c r="D504" t="str">
        <f>INDEX('group info'!B:B,MATCH(sectorLookup!C504,'group info'!A:A,0))</f>
        <v>STEM</v>
      </c>
      <c r="E504" t="s">
        <v>322</v>
      </c>
      <c r="F504">
        <v>2020</v>
      </c>
      <c r="G504" t="str">
        <f t="shared" si="7"/>
        <v>STEM SOC2020</v>
      </c>
    </row>
    <row r="505" spans="1:7" x14ac:dyDescent="0.35">
      <c r="A505">
        <v>2112</v>
      </c>
      <c r="B505" t="str">
        <f>IF(F505=2020,INDEX(SOC2020_Structure!E:E,MATCH(sectorLookup!A505,SOC2020_Structure!D:D,0)),INDEX(SOC2010_Structure!E:E,MATCH(sectorLookup!A505,SOC2010_Structure!D:D,0)))</f>
        <v>Biological scientists</v>
      </c>
      <c r="C505" t="s">
        <v>683</v>
      </c>
      <c r="D505" t="str">
        <f>INDEX('group info'!B:B,MATCH(sectorLookup!C505,'group info'!A:A,0))</f>
        <v>STEM</v>
      </c>
      <c r="E505" t="s">
        <v>322</v>
      </c>
      <c r="F505">
        <v>2020</v>
      </c>
      <c r="G505" t="str">
        <f t="shared" si="7"/>
        <v>STEM SOC2020</v>
      </c>
    </row>
    <row r="506" spans="1:7" x14ac:dyDescent="0.35">
      <c r="A506">
        <v>2113</v>
      </c>
      <c r="B506" t="str">
        <f>IF(F506=2020,INDEX(SOC2020_Structure!E:E,MATCH(sectorLookup!A506,SOC2020_Structure!D:D,0)),INDEX(SOC2010_Structure!E:E,MATCH(sectorLookup!A506,SOC2010_Structure!D:D,0)))</f>
        <v>Biochemists and biomedical scientists</v>
      </c>
      <c r="C506" t="s">
        <v>683</v>
      </c>
      <c r="D506" t="str">
        <f>INDEX('group info'!B:B,MATCH(sectorLookup!C506,'group info'!A:A,0))</f>
        <v>STEM</v>
      </c>
      <c r="E506" t="s">
        <v>322</v>
      </c>
      <c r="F506">
        <v>2020</v>
      </c>
      <c r="G506" t="str">
        <f t="shared" si="7"/>
        <v>STEM SOC2020</v>
      </c>
    </row>
    <row r="507" spans="1:7" x14ac:dyDescent="0.35">
      <c r="A507">
        <v>2114</v>
      </c>
      <c r="B507" t="str">
        <f>IF(F507=2020,INDEX(SOC2020_Structure!E:E,MATCH(sectorLookup!A507,SOC2020_Structure!D:D,0)),INDEX(SOC2010_Structure!E:E,MATCH(sectorLookup!A507,SOC2010_Structure!D:D,0)))</f>
        <v>Physical scientists</v>
      </c>
      <c r="C507" t="s">
        <v>683</v>
      </c>
      <c r="D507" t="str">
        <f>INDEX('group info'!B:B,MATCH(sectorLookup!C507,'group info'!A:A,0))</f>
        <v>STEM</v>
      </c>
      <c r="E507" t="s">
        <v>322</v>
      </c>
      <c r="F507">
        <v>2020</v>
      </c>
      <c r="G507" t="str">
        <f t="shared" si="7"/>
        <v>STEM SOC2020</v>
      </c>
    </row>
    <row r="508" spans="1:7" x14ac:dyDescent="0.35">
      <c r="A508">
        <v>2115</v>
      </c>
      <c r="B508" t="str">
        <f>IF(F508=2020,INDEX(SOC2020_Structure!E:E,MATCH(sectorLookup!A508,SOC2020_Structure!D:D,0)),INDEX(SOC2010_Structure!E:E,MATCH(sectorLookup!A508,SOC2010_Structure!D:D,0)))</f>
        <v>Social and humanities scientists</v>
      </c>
      <c r="C508" t="s">
        <v>683</v>
      </c>
      <c r="D508" t="str">
        <f>INDEX('group info'!B:B,MATCH(sectorLookup!C508,'group info'!A:A,0))</f>
        <v>STEM</v>
      </c>
      <c r="E508" t="s">
        <v>322</v>
      </c>
      <c r="F508">
        <v>2020</v>
      </c>
      <c r="G508" t="str">
        <f t="shared" si="7"/>
        <v>STEM SOC2020</v>
      </c>
    </row>
    <row r="509" spans="1:7" x14ac:dyDescent="0.35">
      <c r="A509">
        <v>2119</v>
      </c>
      <c r="B509" t="str">
        <f>IF(F509=2020,INDEX(SOC2020_Structure!E:E,MATCH(sectorLookup!A509,SOC2020_Structure!D:D,0)),INDEX(SOC2010_Structure!E:E,MATCH(sectorLookup!A509,SOC2010_Structure!D:D,0)))</f>
        <v>Natural and social science professionals n.e.c.</v>
      </c>
      <c r="C509" t="s">
        <v>683</v>
      </c>
      <c r="D509" t="str">
        <f>INDEX('group info'!B:B,MATCH(sectorLookup!C509,'group info'!A:A,0))</f>
        <v>STEM</v>
      </c>
      <c r="E509" t="s">
        <v>322</v>
      </c>
      <c r="F509">
        <v>2020</v>
      </c>
      <c r="G509" t="str">
        <f t="shared" si="7"/>
        <v>STEM SOC2020</v>
      </c>
    </row>
    <row r="510" spans="1:7" x14ac:dyDescent="0.35">
      <c r="A510">
        <v>2121</v>
      </c>
      <c r="B510" t="str">
        <f>IF(F510=2020,INDEX(SOC2020_Structure!E:E,MATCH(sectorLookup!A510,SOC2020_Structure!D:D,0)),INDEX(SOC2010_Structure!E:E,MATCH(sectorLookup!A510,SOC2010_Structure!D:D,0)))</f>
        <v>Civil engineers</v>
      </c>
      <c r="C510" t="s">
        <v>683</v>
      </c>
      <c r="D510" t="str">
        <f>INDEX('group info'!B:B,MATCH(sectorLookup!C510,'group info'!A:A,0))</f>
        <v>STEM</v>
      </c>
      <c r="E510" t="s">
        <v>322</v>
      </c>
      <c r="F510">
        <v>2020</v>
      </c>
      <c r="G510" t="str">
        <f t="shared" si="7"/>
        <v>STEM SOC2020</v>
      </c>
    </row>
    <row r="511" spans="1:7" x14ac:dyDescent="0.35">
      <c r="A511">
        <v>2122</v>
      </c>
      <c r="B511" t="str">
        <f>IF(F511=2020,INDEX(SOC2020_Structure!E:E,MATCH(sectorLookup!A511,SOC2020_Structure!D:D,0)),INDEX(SOC2010_Structure!E:E,MATCH(sectorLookup!A511,SOC2010_Structure!D:D,0)))</f>
        <v>Mechanical engineers</v>
      </c>
      <c r="C511" t="s">
        <v>683</v>
      </c>
      <c r="D511" t="str">
        <f>INDEX('group info'!B:B,MATCH(sectorLookup!C511,'group info'!A:A,0))</f>
        <v>STEM</v>
      </c>
      <c r="E511" t="s">
        <v>322</v>
      </c>
      <c r="F511">
        <v>2020</v>
      </c>
      <c r="G511" t="str">
        <f t="shared" si="7"/>
        <v>STEM SOC2020</v>
      </c>
    </row>
    <row r="512" spans="1:7" x14ac:dyDescent="0.35">
      <c r="A512">
        <v>2123</v>
      </c>
      <c r="B512" t="str">
        <f>IF(F512=2020,INDEX(SOC2020_Structure!E:E,MATCH(sectorLookup!A512,SOC2020_Structure!D:D,0)),INDEX(SOC2010_Structure!E:E,MATCH(sectorLookup!A512,SOC2010_Structure!D:D,0)))</f>
        <v>Electrical engineers</v>
      </c>
      <c r="C512" t="s">
        <v>683</v>
      </c>
      <c r="D512" t="str">
        <f>INDEX('group info'!B:B,MATCH(sectorLookup!C512,'group info'!A:A,0))</f>
        <v>STEM</v>
      </c>
      <c r="E512" t="s">
        <v>322</v>
      </c>
      <c r="F512">
        <v>2020</v>
      </c>
      <c r="G512" t="str">
        <f t="shared" si="7"/>
        <v>STEM SOC2020</v>
      </c>
    </row>
    <row r="513" spans="1:7" x14ac:dyDescent="0.35">
      <c r="A513">
        <v>2124</v>
      </c>
      <c r="B513" t="str">
        <f>IF(F513=2020,INDEX(SOC2020_Structure!E:E,MATCH(sectorLookup!A513,SOC2020_Structure!D:D,0)),INDEX(SOC2010_Structure!E:E,MATCH(sectorLookup!A513,SOC2010_Structure!D:D,0)))</f>
        <v>Electronics engineers</v>
      </c>
      <c r="C513" t="s">
        <v>683</v>
      </c>
      <c r="D513" t="str">
        <f>INDEX('group info'!B:B,MATCH(sectorLookup!C513,'group info'!A:A,0))</f>
        <v>STEM</v>
      </c>
      <c r="E513" t="s">
        <v>322</v>
      </c>
      <c r="F513">
        <v>2020</v>
      </c>
      <c r="G513" t="str">
        <f t="shared" si="7"/>
        <v>STEM SOC2020</v>
      </c>
    </row>
    <row r="514" spans="1:7" x14ac:dyDescent="0.35">
      <c r="A514">
        <v>2125</v>
      </c>
      <c r="B514" t="str">
        <f>IF(F514=2020,INDEX(SOC2020_Structure!E:E,MATCH(sectorLookup!A514,SOC2020_Structure!D:D,0)),INDEX(SOC2010_Structure!E:E,MATCH(sectorLookup!A514,SOC2010_Structure!D:D,0)))</f>
        <v>Production and process engineers</v>
      </c>
      <c r="C514" t="s">
        <v>683</v>
      </c>
      <c r="D514" t="str">
        <f>INDEX('group info'!B:B,MATCH(sectorLookup!C514,'group info'!A:A,0))</f>
        <v>STEM</v>
      </c>
      <c r="E514" t="s">
        <v>322</v>
      </c>
      <c r="F514">
        <v>2020</v>
      </c>
      <c r="G514" t="str">
        <f t="shared" si="7"/>
        <v>STEM SOC2020</v>
      </c>
    </row>
    <row r="515" spans="1:7" x14ac:dyDescent="0.35">
      <c r="A515">
        <v>2126</v>
      </c>
      <c r="B515" t="str">
        <f>IF(F515=2020,INDEX(SOC2020_Structure!E:E,MATCH(sectorLookup!A515,SOC2020_Structure!D:D,0)),INDEX(SOC2010_Structure!E:E,MATCH(sectorLookup!A515,SOC2010_Structure!D:D,0)))</f>
        <v>Aerospace engineers</v>
      </c>
      <c r="C515" t="s">
        <v>683</v>
      </c>
      <c r="D515" t="str">
        <f>INDEX('group info'!B:B,MATCH(sectorLookup!C515,'group info'!A:A,0))</f>
        <v>STEM</v>
      </c>
      <c r="E515" t="s">
        <v>322</v>
      </c>
      <c r="F515">
        <v>2020</v>
      </c>
      <c r="G515" t="str">
        <f t="shared" ref="G515:G578" si="8">D515&amp;" SOC"&amp;F515</f>
        <v>STEM SOC2020</v>
      </c>
    </row>
    <row r="516" spans="1:7" x14ac:dyDescent="0.35">
      <c r="A516">
        <v>2127</v>
      </c>
      <c r="B516" t="str">
        <f>IF(F516=2020,INDEX(SOC2020_Structure!E:E,MATCH(sectorLookup!A516,SOC2020_Structure!D:D,0)),INDEX(SOC2010_Structure!E:E,MATCH(sectorLookup!A516,SOC2010_Structure!D:D,0)))</f>
        <v>Engineering project managers and project engineers</v>
      </c>
      <c r="C516" t="s">
        <v>683</v>
      </c>
      <c r="D516" t="str">
        <f>INDEX('group info'!B:B,MATCH(sectorLookup!C516,'group info'!A:A,0))</f>
        <v>STEM</v>
      </c>
      <c r="E516" t="s">
        <v>322</v>
      </c>
      <c r="F516">
        <v>2020</v>
      </c>
      <c r="G516" t="str">
        <f t="shared" si="8"/>
        <v>STEM SOC2020</v>
      </c>
    </row>
    <row r="517" spans="1:7" x14ac:dyDescent="0.35">
      <c r="A517">
        <v>2129</v>
      </c>
      <c r="B517" t="str">
        <f>IF(F517=2020,INDEX(SOC2020_Structure!E:E,MATCH(sectorLookup!A517,SOC2020_Structure!D:D,0)),INDEX(SOC2010_Structure!E:E,MATCH(sectorLookup!A517,SOC2010_Structure!D:D,0)))</f>
        <v>Engineering professionals n.e.c.</v>
      </c>
      <c r="C517" t="s">
        <v>683</v>
      </c>
      <c r="D517" t="str">
        <f>INDEX('group info'!B:B,MATCH(sectorLookup!C517,'group info'!A:A,0))</f>
        <v>STEM</v>
      </c>
      <c r="E517" t="s">
        <v>322</v>
      </c>
      <c r="F517">
        <v>2020</v>
      </c>
      <c r="G517" t="str">
        <f t="shared" si="8"/>
        <v>STEM SOC2020</v>
      </c>
    </row>
    <row r="518" spans="1:7" x14ac:dyDescent="0.35">
      <c r="A518">
        <v>2131</v>
      </c>
      <c r="B518" t="str">
        <f>IF(F518=2020,INDEX(SOC2020_Structure!E:E,MATCH(sectorLookup!A518,SOC2020_Structure!D:D,0)),INDEX(SOC2010_Structure!E:E,MATCH(sectorLookup!A518,SOC2010_Structure!D:D,0)))</f>
        <v>IT project managers</v>
      </c>
      <c r="C518" t="s">
        <v>683</v>
      </c>
      <c r="D518" t="str">
        <f>INDEX('group info'!B:B,MATCH(sectorLookup!C518,'group info'!A:A,0))</f>
        <v>STEM</v>
      </c>
      <c r="E518" t="s">
        <v>322</v>
      </c>
      <c r="F518">
        <v>2020</v>
      </c>
      <c r="G518" t="str">
        <f t="shared" si="8"/>
        <v>STEM SOC2020</v>
      </c>
    </row>
    <row r="519" spans="1:7" x14ac:dyDescent="0.35">
      <c r="A519">
        <v>2132</v>
      </c>
      <c r="B519" t="str">
        <f>IF(F519=2020,INDEX(SOC2020_Structure!E:E,MATCH(sectorLookup!A519,SOC2020_Structure!D:D,0)),INDEX(SOC2010_Structure!E:E,MATCH(sectorLookup!A519,SOC2010_Structure!D:D,0)))</f>
        <v>IT managers</v>
      </c>
      <c r="C519" t="s">
        <v>683</v>
      </c>
      <c r="D519" t="str">
        <f>INDEX('group info'!B:B,MATCH(sectorLookup!C519,'group info'!A:A,0))</f>
        <v>STEM</v>
      </c>
      <c r="E519" t="s">
        <v>322</v>
      </c>
      <c r="F519">
        <v>2020</v>
      </c>
      <c r="G519" t="str">
        <f t="shared" si="8"/>
        <v>STEM SOC2020</v>
      </c>
    </row>
    <row r="520" spans="1:7" x14ac:dyDescent="0.35">
      <c r="A520">
        <v>2133</v>
      </c>
      <c r="B520" t="str">
        <f>IF(F520=2020,INDEX(SOC2020_Structure!E:E,MATCH(sectorLookup!A520,SOC2020_Structure!D:D,0)),INDEX(SOC2010_Structure!E:E,MATCH(sectorLookup!A520,SOC2010_Structure!D:D,0)))</f>
        <v>IT business analysts, architects and systems designers</v>
      </c>
      <c r="C520" t="s">
        <v>683</v>
      </c>
      <c r="D520" t="str">
        <f>INDEX('group info'!B:B,MATCH(sectorLookup!C520,'group info'!A:A,0))</f>
        <v>STEM</v>
      </c>
      <c r="E520" t="s">
        <v>322</v>
      </c>
      <c r="F520">
        <v>2020</v>
      </c>
      <c r="G520" t="str">
        <f t="shared" si="8"/>
        <v>STEM SOC2020</v>
      </c>
    </row>
    <row r="521" spans="1:7" x14ac:dyDescent="0.35">
      <c r="A521">
        <v>2134</v>
      </c>
      <c r="B521" t="str">
        <f>IF(F521=2020,INDEX(SOC2020_Structure!E:E,MATCH(sectorLookup!A521,SOC2020_Structure!D:D,0)),INDEX(SOC2010_Structure!E:E,MATCH(sectorLookup!A521,SOC2010_Structure!D:D,0)))</f>
        <v>Programmers and software development professionals</v>
      </c>
      <c r="C521" t="s">
        <v>683</v>
      </c>
      <c r="D521" t="str">
        <f>INDEX('group info'!B:B,MATCH(sectorLookup!C521,'group info'!A:A,0))</f>
        <v>STEM</v>
      </c>
      <c r="E521" t="s">
        <v>322</v>
      </c>
      <c r="F521">
        <v>2020</v>
      </c>
      <c r="G521" t="str">
        <f t="shared" si="8"/>
        <v>STEM SOC2020</v>
      </c>
    </row>
    <row r="522" spans="1:7" x14ac:dyDescent="0.35">
      <c r="A522">
        <v>2135</v>
      </c>
      <c r="B522" t="str">
        <f>IF(F522=2020,INDEX(SOC2020_Structure!E:E,MATCH(sectorLookup!A522,SOC2020_Structure!D:D,0)),INDEX(SOC2010_Structure!E:E,MATCH(sectorLookup!A522,SOC2010_Structure!D:D,0)))</f>
        <v>Cyber security professionals</v>
      </c>
      <c r="C522" t="s">
        <v>683</v>
      </c>
      <c r="D522" t="str">
        <f>INDEX('group info'!B:B,MATCH(sectorLookup!C522,'group info'!A:A,0))</f>
        <v>STEM</v>
      </c>
      <c r="E522" t="s">
        <v>322</v>
      </c>
      <c r="F522">
        <v>2020</v>
      </c>
      <c r="G522" t="str">
        <f t="shared" si="8"/>
        <v>STEM SOC2020</v>
      </c>
    </row>
    <row r="523" spans="1:7" x14ac:dyDescent="0.35">
      <c r="A523">
        <v>2136</v>
      </c>
      <c r="B523" t="str">
        <f>IF(F523=2020,INDEX(SOC2020_Structure!E:E,MATCH(sectorLookup!A523,SOC2020_Structure!D:D,0)),INDEX(SOC2010_Structure!E:E,MATCH(sectorLookup!A523,SOC2010_Structure!D:D,0)))</f>
        <v>IT quality and testing professionals</v>
      </c>
      <c r="C523" t="s">
        <v>683</v>
      </c>
      <c r="D523" t="str">
        <f>INDEX('group info'!B:B,MATCH(sectorLookup!C523,'group info'!A:A,0))</f>
        <v>STEM</v>
      </c>
      <c r="E523" t="s">
        <v>322</v>
      </c>
      <c r="F523">
        <v>2020</v>
      </c>
      <c r="G523" t="str">
        <f t="shared" si="8"/>
        <v>STEM SOC2020</v>
      </c>
    </row>
    <row r="524" spans="1:7" x14ac:dyDescent="0.35">
      <c r="A524">
        <v>2137</v>
      </c>
      <c r="B524" t="str">
        <f>IF(F524=2020,INDEX(SOC2020_Structure!E:E,MATCH(sectorLookup!A524,SOC2020_Structure!D:D,0)),INDEX(SOC2010_Structure!E:E,MATCH(sectorLookup!A524,SOC2010_Structure!D:D,0)))</f>
        <v>IT network professionals</v>
      </c>
      <c r="C524" t="s">
        <v>683</v>
      </c>
      <c r="D524" t="str">
        <f>INDEX('group info'!B:B,MATCH(sectorLookup!C524,'group info'!A:A,0))</f>
        <v>STEM</v>
      </c>
      <c r="E524" t="s">
        <v>322</v>
      </c>
      <c r="F524">
        <v>2020</v>
      </c>
      <c r="G524" t="str">
        <f t="shared" si="8"/>
        <v>STEM SOC2020</v>
      </c>
    </row>
    <row r="525" spans="1:7" x14ac:dyDescent="0.35">
      <c r="A525">
        <v>2139</v>
      </c>
      <c r="B525" t="str">
        <f>IF(F525=2020,INDEX(SOC2020_Structure!E:E,MATCH(sectorLookup!A525,SOC2020_Structure!D:D,0)),INDEX(SOC2010_Structure!E:E,MATCH(sectorLookup!A525,SOC2010_Structure!D:D,0)))</f>
        <v>Information technology professionals n.e.c.</v>
      </c>
      <c r="C525" t="s">
        <v>683</v>
      </c>
      <c r="D525" t="str">
        <f>INDEX('group info'!B:B,MATCH(sectorLookup!C525,'group info'!A:A,0))</f>
        <v>STEM</v>
      </c>
      <c r="E525" t="s">
        <v>322</v>
      </c>
      <c r="F525">
        <v>2020</v>
      </c>
      <c r="G525" t="str">
        <f t="shared" si="8"/>
        <v>STEM SOC2020</v>
      </c>
    </row>
    <row r="526" spans="1:7" x14ac:dyDescent="0.35">
      <c r="A526">
        <v>2142</v>
      </c>
      <c r="B526" t="str">
        <f>IF(F526=2020,INDEX(SOC2020_Structure!E:E,MATCH(sectorLookup!A526,SOC2020_Structure!D:D,0)),INDEX(SOC2010_Structure!E:E,MATCH(sectorLookup!A526,SOC2010_Structure!D:D,0)))</f>
        <v>Graphic and multimedia designers</v>
      </c>
      <c r="C526" t="s">
        <v>683</v>
      </c>
      <c r="D526" t="str">
        <f>INDEX('group info'!B:B,MATCH(sectorLookup!C526,'group info'!A:A,0))</f>
        <v>STEM</v>
      </c>
      <c r="E526" t="s">
        <v>322</v>
      </c>
      <c r="F526">
        <v>2020</v>
      </c>
      <c r="G526" t="str">
        <f t="shared" si="8"/>
        <v>STEM SOC2020</v>
      </c>
    </row>
    <row r="527" spans="1:7" x14ac:dyDescent="0.35">
      <c r="A527">
        <v>2151</v>
      </c>
      <c r="B527" t="str">
        <f>IF(F527=2020,INDEX(SOC2020_Structure!E:E,MATCH(sectorLookup!A527,SOC2020_Structure!D:D,0)),INDEX(SOC2010_Structure!E:E,MATCH(sectorLookup!A527,SOC2010_Structure!D:D,0)))</f>
        <v>Conservation professionals</v>
      </c>
      <c r="C527" t="s">
        <v>683</v>
      </c>
      <c r="D527" t="str">
        <f>INDEX('group info'!B:B,MATCH(sectorLookup!C527,'group info'!A:A,0))</f>
        <v>STEM</v>
      </c>
      <c r="E527" t="s">
        <v>322</v>
      </c>
      <c r="F527">
        <v>2020</v>
      </c>
      <c r="G527" t="str">
        <f t="shared" si="8"/>
        <v>STEM SOC2020</v>
      </c>
    </row>
    <row r="528" spans="1:7" x14ac:dyDescent="0.35">
      <c r="A528">
        <v>2152</v>
      </c>
      <c r="B528" t="str">
        <f>IF(F528=2020,INDEX(SOC2020_Structure!E:E,MATCH(sectorLookup!A528,SOC2020_Structure!D:D,0)),INDEX(SOC2010_Structure!E:E,MATCH(sectorLookup!A528,SOC2010_Structure!D:D,0)))</f>
        <v>Environment professionals</v>
      </c>
      <c r="C528" t="s">
        <v>683</v>
      </c>
      <c r="D528" t="str">
        <f>INDEX('group info'!B:B,MATCH(sectorLookup!C528,'group info'!A:A,0))</f>
        <v>STEM</v>
      </c>
      <c r="E528" t="s">
        <v>322</v>
      </c>
      <c r="F528">
        <v>2020</v>
      </c>
      <c r="G528" t="str">
        <f t="shared" si="8"/>
        <v>STEM SOC2020</v>
      </c>
    </row>
    <row r="529" spans="1:7" x14ac:dyDescent="0.35">
      <c r="A529">
        <v>2161</v>
      </c>
      <c r="B529" t="str">
        <f>IF(F529=2020,INDEX(SOC2020_Structure!E:E,MATCH(sectorLookup!A529,SOC2020_Structure!D:D,0)),INDEX(SOC2010_Structure!E:E,MATCH(sectorLookup!A529,SOC2010_Structure!D:D,0)))</f>
        <v>Research and development (R&amp;D) managers</v>
      </c>
      <c r="C529" t="s">
        <v>683</v>
      </c>
      <c r="D529" t="str">
        <f>INDEX('group info'!B:B,MATCH(sectorLookup!C529,'group info'!A:A,0))</f>
        <v>STEM</v>
      </c>
      <c r="E529" t="s">
        <v>322</v>
      </c>
      <c r="F529">
        <v>2020</v>
      </c>
      <c r="G529" t="str">
        <f t="shared" si="8"/>
        <v>STEM SOC2020</v>
      </c>
    </row>
    <row r="530" spans="1:7" x14ac:dyDescent="0.35">
      <c r="A530">
        <v>2162</v>
      </c>
      <c r="B530" t="str">
        <f>IF(F530=2020,INDEX(SOC2020_Structure!E:E,MATCH(sectorLookup!A530,SOC2020_Structure!D:D,0)),INDEX(SOC2010_Structure!E:E,MATCH(sectorLookup!A530,SOC2010_Structure!D:D,0)))</f>
        <v>Other researchers, unspecified discipline</v>
      </c>
      <c r="C530" t="s">
        <v>683</v>
      </c>
      <c r="D530" t="str">
        <f>INDEX('group info'!B:B,MATCH(sectorLookup!C530,'group info'!A:A,0))</f>
        <v>STEM</v>
      </c>
      <c r="E530" t="s">
        <v>322</v>
      </c>
      <c r="F530">
        <v>2020</v>
      </c>
      <c r="G530" t="str">
        <f t="shared" si="8"/>
        <v>STEM SOC2020</v>
      </c>
    </row>
    <row r="531" spans="1:7" x14ac:dyDescent="0.35">
      <c r="A531">
        <v>2225</v>
      </c>
      <c r="B531" t="str">
        <f>IF(F531=2020,INDEX(SOC2020_Structure!E:E,MATCH(sectorLookup!A531,SOC2020_Structure!D:D,0)),INDEX(SOC2010_Structure!E:E,MATCH(sectorLookup!A531,SOC2010_Structure!D:D,0)))</f>
        <v>Clinical psychologists</v>
      </c>
      <c r="C531" t="s">
        <v>683</v>
      </c>
      <c r="D531" t="str">
        <f>INDEX('group info'!B:B,MATCH(sectorLookup!C531,'group info'!A:A,0))</f>
        <v>STEM</v>
      </c>
      <c r="E531" t="s">
        <v>322</v>
      </c>
      <c r="F531">
        <v>2020</v>
      </c>
      <c r="G531" t="str">
        <f t="shared" si="8"/>
        <v>STEM SOC2020</v>
      </c>
    </row>
    <row r="532" spans="1:7" x14ac:dyDescent="0.35">
      <c r="A532">
        <v>2226</v>
      </c>
      <c r="B532" t="str">
        <f>IF(F532=2020,INDEX(SOC2020_Structure!E:E,MATCH(sectorLookup!A532,SOC2020_Structure!D:D,0)),INDEX(SOC2010_Structure!E:E,MATCH(sectorLookup!A532,SOC2010_Structure!D:D,0)))</f>
        <v>Other psychologists</v>
      </c>
      <c r="C532" t="s">
        <v>683</v>
      </c>
      <c r="D532" t="str">
        <f>INDEX('group info'!B:B,MATCH(sectorLookup!C532,'group info'!A:A,0))</f>
        <v>STEM</v>
      </c>
      <c r="E532" t="s">
        <v>322</v>
      </c>
      <c r="F532">
        <v>2020</v>
      </c>
      <c r="G532" t="str">
        <f t="shared" si="8"/>
        <v>STEM SOC2020</v>
      </c>
    </row>
    <row r="533" spans="1:7" x14ac:dyDescent="0.35">
      <c r="A533">
        <v>2421</v>
      </c>
      <c r="B533" t="str">
        <f>IF(F533=2020,INDEX(SOC2020_Structure!E:E,MATCH(sectorLookup!A533,SOC2020_Structure!D:D,0)),INDEX(SOC2010_Structure!E:E,MATCH(sectorLookup!A533,SOC2010_Structure!D:D,0)))</f>
        <v>Chartered and certified accountants</v>
      </c>
      <c r="C533" t="s">
        <v>683</v>
      </c>
      <c r="D533" t="str">
        <f>INDEX('group info'!B:B,MATCH(sectorLookup!C533,'group info'!A:A,0))</f>
        <v>STEM</v>
      </c>
      <c r="E533" t="s">
        <v>322</v>
      </c>
      <c r="F533">
        <v>2020</v>
      </c>
      <c r="G533" t="str">
        <f t="shared" si="8"/>
        <v>STEM SOC2020</v>
      </c>
    </row>
    <row r="534" spans="1:7" x14ac:dyDescent="0.35">
      <c r="A534">
        <v>2422</v>
      </c>
      <c r="B534" t="str">
        <f>IF(F534=2020,INDEX(SOC2020_Structure!E:E,MATCH(sectorLookup!A534,SOC2020_Structure!D:D,0)),INDEX(SOC2010_Structure!E:E,MATCH(sectorLookup!A534,SOC2010_Structure!D:D,0)))</f>
        <v>Finance and investment analysts and advisers</v>
      </c>
      <c r="C534" t="s">
        <v>683</v>
      </c>
      <c r="D534" t="str">
        <f>INDEX('group info'!B:B,MATCH(sectorLookup!C534,'group info'!A:A,0))</f>
        <v>STEM</v>
      </c>
      <c r="E534" t="s">
        <v>322</v>
      </c>
      <c r="F534">
        <v>2020</v>
      </c>
      <c r="G534" t="str">
        <f t="shared" si="8"/>
        <v>STEM SOC2020</v>
      </c>
    </row>
    <row r="535" spans="1:7" x14ac:dyDescent="0.35">
      <c r="A535">
        <v>2423</v>
      </c>
      <c r="B535" t="str">
        <f>IF(F535=2020,INDEX(SOC2020_Structure!E:E,MATCH(sectorLookup!A535,SOC2020_Structure!D:D,0)),INDEX(SOC2010_Structure!E:E,MATCH(sectorLookup!A535,SOC2010_Structure!D:D,0)))</f>
        <v>Taxation experts</v>
      </c>
      <c r="C535" t="s">
        <v>683</v>
      </c>
      <c r="D535" t="str">
        <f>INDEX('group info'!B:B,MATCH(sectorLookup!C535,'group info'!A:A,0))</f>
        <v>STEM</v>
      </c>
      <c r="E535" t="s">
        <v>322</v>
      </c>
      <c r="F535">
        <v>2020</v>
      </c>
      <c r="G535" t="str">
        <f t="shared" si="8"/>
        <v>STEM SOC2020</v>
      </c>
    </row>
    <row r="536" spans="1:7" x14ac:dyDescent="0.35">
      <c r="A536">
        <v>2431</v>
      </c>
      <c r="B536" t="str">
        <f>IF(F536=2020,INDEX(SOC2020_Structure!E:E,MATCH(sectorLookup!A536,SOC2020_Structure!D:D,0)),INDEX(SOC2010_Structure!E:E,MATCH(sectorLookup!A536,SOC2010_Structure!D:D,0)))</f>
        <v>Management consultants and business analysts</v>
      </c>
      <c r="C536" t="s">
        <v>683</v>
      </c>
      <c r="D536" t="str">
        <f>INDEX('group info'!B:B,MATCH(sectorLookup!C536,'group info'!A:A,0))</f>
        <v>STEM</v>
      </c>
      <c r="E536" t="s">
        <v>322</v>
      </c>
      <c r="F536">
        <v>2020</v>
      </c>
      <c r="G536" t="str">
        <f t="shared" si="8"/>
        <v>STEM SOC2020</v>
      </c>
    </row>
    <row r="537" spans="1:7" x14ac:dyDescent="0.35">
      <c r="A537">
        <v>2433</v>
      </c>
      <c r="B537" t="str">
        <f>IF(F537=2020,INDEX(SOC2020_Structure!E:E,MATCH(sectorLookup!A537,SOC2020_Structure!D:D,0)),INDEX(SOC2010_Structure!E:E,MATCH(sectorLookup!A537,SOC2010_Structure!D:D,0)))</f>
        <v>Actuaries, economists and statisticians</v>
      </c>
      <c r="C537" t="s">
        <v>683</v>
      </c>
      <c r="D537" t="str">
        <f>INDEX('group info'!B:B,MATCH(sectorLookup!C537,'group info'!A:A,0))</f>
        <v>STEM</v>
      </c>
      <c r="E537" t="s">
        <v>322</v>
      </c>
      <c r="F537">
        <v>2020</v>
      </c>
      <c r="G537" t="str">
        <f t="shared" si="8"/>
        <v>STEM SOC2020</v>
      </c>
    </row>
    <row r="538" spans="1:7" x14ac:dyDescent="0.35">
      <c r="A538">
        <v>2434</v>
      </c>
      <c r="B538" t="str">
        <f>IF(F538=2020,INDEX(SOC2020_Structure!E:E,MATCH(sectorLookup!A538,SOC2020_Structure!D:D,0)),INDEX(SOC2010_Structure!E:E,MATCH(sectorLookup!A538,SOC2010_Structure!D:D,0)))</f>
        <v>Business and related research professionals</v>
      </c>
      <c r="C538" t="s">
        <v>683</v>
      </c>
      <c r="D538" t="str">
        <f>INDEX('group info'!B:B,MATCH(sectorLookup!C538,'group info'!A:A,0))</f>
        <v>STEM</v>
      </c>
      <c r="E538" t="s">
        <v>322</v>
      </c>
      <c r="F538">
        <v>2020</v>
      </c>
      <c r="G538" t="str">
        <f t="shared" si="8"/>
        <v>STEM SOC2020</v>
      </c>
    </row>
    <row r="539" spans="1:7" x14ac:dyDescent="0.35">
      <c r="A539">
        <v>2440</v>
      </c>
      <c r="B539" t="str">
        <f>IF(F539=2020,INDEX(SOC2020_Structure!E:E,MATCH(sectorLookup!A539,SOC2020_Structure!D:D,0)),INDEX(SOC2010_Structure!E:E,MATCH(sectorLookup!A539,SOC2010_Structure!D:D,0)))</f>
        <v>Business and financial project management professionals</v>
      </c>
      <c r="C539" t="s">
        <v>683</v>
      </c>
      <c r="D539" t="str">
        <f>INDEX('group info'!B:B,MATCH(sectorLookup!C539,'group info'!A:A,0))</f>
        <v>STEM</v>
      </c>
      <c r="E539" t="s">
        <v>322</v>
      </c>
      <c r="F539">
        <v>2020</v>
      </c>
      <c r="G539" t="str">
        <f t="shared" si="8"/>
        <v>STEM SOC2020</v>
      </c>
    </row>
    <row r="540" spans="1:7" x14ac:dyDescent="0.35">
      <c r="A540">
        <v>2451</v>
      </c>
      <c r="B540" t="str">
        <f>IF(F540=2020,INDEX(SOC2020_Structure!E:E,MATCH(sectorLookup!A540,SOC2020_Structure!D:D,0)),INDEX(SOC2010_Structure!E:E,MATCH(sectorLookup!A540,SOC2010_Structure!D:D,0)))</f>
        <v>Architects</v>
      </c>
      <c r="C540" t="s">
        <v>683</v>
      </c>
      <c r="D540" t="str">
        <f>INDEX('group info'!B:B,MATCH(sectorLookup!C540,'group info'!A:A,0))</f>
        <v>STEM</v>
      </c>
      <c r="E540" t="s">
        <v>322</v>
      </c>
      <c r="F540">
        <v>2020</v>
      </c>
      <c r="G540" t="str">
        <f t="shared" si="8"/>
        <v>STEM SOC2020</v>
      </c>
    </row>
    <row r="541" spans="1:7" x14ac:dyDescent="0.35">
      <c r="A541">
        <v>2452</v>
      </c>
      <c r="B541" t="str">
        <f>IF(F541=2020,INDEX(SOC2020_Structure!E:E,MATCH(sectorLookup!A541,SOC2020_Structure!D:D,0)),INDEX(SOC2010_Structure!E:E,MATCH(sectorLookup!A541,SOC2010_Structure!D:D,0)))</f>
        <v>Chartered architectural technologists, planning officers and consultants</v>
      </c>
      <c r="C541" t="s">
        <v>683</v>
      </c>
      <c r="D541" t="str">
        <f>INDEX('group info'!B:B,MATCH(sectorLookup!C541,'group info'!A:A,0))</f>
        <v>STEM</v>
      </c>
      <c r="E541" t="s">
        <v>322</v>
      </c>
      <c r="F541">
        <v>2020</v>
      </c>
      <c r="G541" t="str">
        <f t="shared" si="8"/>
        <v>STEM SOC2020</v>
      </c>
    </row>
    <row r="542" spans="1:7" x14ac:dyDescent="0.35">
      <c r="A542">
        <v>2453</v>
      </c>
      <c r="B542" t="str">
        <f>IF(F542=2020,INDEX(SOC2020_Structure!E:E,MATCH(sectorLookup!A542,SOC2020_Structure!D:D,0)),INDEX(SOC2010_Structure!E:E,MATCH(sectorLookup!A542,SOC2010_Structure!D:D,0)))</f>
        <v>Quantity surveyors</v>
      </c>
      <c r="C542" t="s">
        <v>683</v>
      </c>
      <c r="D542" t="str">
        <f>INDEX('group info'!B:B,MATCH(sectorLookup!C542,'group info'!A:A,0))</f>
        <v>STEM</v>
      </c>
      <c r="E542" t="s">
        <v>322</v>
      </c>
      <c r="F542">
        <v>2020</v>
      </c>
      <c r="G542" t="str">
        <f t="shared" si="8"/>
        <v>STEM SOC2020</v>
      </c>
    </row>
    <row r="543" spans="1:7" x14ac:dyDescent="0.35">
      <c r="A543">
        <v>2454</v>
      </c>
      <c r="B543" t="str">
        <f>IF(F543=2020,INDEX(SOC2020_Structure!E:E,MATCH(sectorLookup!A543,SOC2020_Structure!D:D,0)),INDEX(SOC2010_Structure!E:E,MATCH(sectorLookup!A543,SOC2010_Structure!D:D,0)))</f>
        <v>Chartered surveyors</v>
      </c>
      <c r="C543" t="s">
        <v>683</v>
      </c>
      <c r="D543" t="str">
        <f>INDEX('group info'!B:B,MATCH(sectorLookup!C543,'group info'!A:A,0))</f>
        <v>STEM</v>
      </c>
      <c r="E543" t="s">
        <v>322</v>
      </c>
      <c r="F543">
        <v>2020</v>
      </c>
      <c r="G543" t="str">
        <f t="shared" si="8"/>
        <v>STEM SOC2020</v>
      </c>
    </row>
    <row r="544" spans="1:7" x14ac:dyDescent="0.35">
      <c r="A544">
        <v>2455</v>
      </c>
      <c r="B544" t="str">
        <f>IF(F544=2020,INDEX(SOC2020_Structure!E:E,MATCH(sectorLookup!A544,SOC2020_Structure!D:D,0)),INDEX(SOC2010_Structure!E:E,MATCH(sectorLookup!A544,SOC2010_Structure!D:D,0)))</f>
        <v>Construction project managers and related professionals</v>
      </c>
      <c r="C544" t="s">
        <v>683</v>
      </c>
      <c r="D544" t="str">
        <f>INDEX('group info'!B:B,MATCH(sectorLookup!C544,'group info'!A:A,0))</f>
        <v>STEM</v>
      </c>
      <c r="E544" t="s">
        <v>322</v>
      </c>
      <c r="F544">
        <v>2020</v>
      </c>
      <c r="G544" t="str">
        <f t="shared" si="8"/>
        <v>STEM SOC2020</v>
      </c>
    </row>
    <row r="545" spans="1:7" x14ac:dyDescent="0.35">
      <c r="A545">
        <v>2481</v>
      </c>
      <c r="B545" t="str">
        <f>IF(F545=2020,INDEX(SOC2020_Structure!E:E,MATCH(sectorLookup!A545,SOC2020_Structure!D:D,0)),INDEX(SOC2010_Structure!E:E,MATCH(sectorLookup!A545,SOC2010_Structure!D:D,0)))</f>
        <v>Quality control and planning engineers</v>
      </c>
      <c r="C545" t="s">
        <v>683</v>
      </c>
      <c r="D545" t="str">
        <f>INDEX('group info'!B:B,MATCH(sectorLookup!C545,'group info'!A:A,0))</f>
        <v>STEM</v>
      </c>
      <c r="E545" t="s">
        <v>322</v>
      </c>
      <c r="F545">
        <v>2020</v>
      </c>
      <c r="G545" t="str">
        <f t="shared" si="8"/>
        <v>STEM SOC2020</v>
      </c>
    </row>
    <row r="546" spans="1:7" x14ac:dyDescent="0.35">
      <c r="A546">
        <v>2482</v>
      </c>
      <c r="B546" t="str">
        <f>IF(F546=2020,INDEX(SOC2020_Structure!E:E,MATCH(sectorLookup!A546,SOC2020_Structure!D:D,0)),INDEX(SOC2010_Structure!E:E,MATCH(sectorLookup!A546,SOC2010_Structure!D:D,0)))</f>
        <v>Quality assurance and regulatory professionals</v>
      </c>
      <c r="C546" t="s">
        <v>683</v>
      </c>
      <c r="D546" t="str">
        <f>INDEX('group info'!B:B,MATCH(sectorLookup!C546,'group info'!A:A,0))</f>
        <v>STEM</v>
      </c>
      <c r="E546" t="s">
        <v>322</v>
      </c>
      <c r="F546">
        <v>2020</v>
      </c>
      <c r="G546" t="str">
        <f t="shared" si="8"/>
        <v>STEM SOC2020</v>
      </c>
    </row>
    <row r="547" spans="1:7" x14ac:dyDescent="0.35">
      <c r="A547">
        <v>2483</v>
      </c>
      <c r="B547" t="str">
        <f>IF(F547=2020,INDEX(SOC2020_Structure!E:E,MATCH(sectorLookup!A547,SOC2020_Structure!D:D,0)),INDEX(SOC2010_Structure!E:E,MATCH(sectorLookup!A547,SOC2010_Structure!D:D,0)))</f>
        <v>Environmental health professionals</v>
      </c>
      <c r="C547" t="s">
        <v>683</v>
      </c>
      <c r="D547" t="str">
        <f>INDEX('group info'!B:B,MATCH(sectorLookup!C547,'group info'!A:A,0))</f>
        <v>STEM</v>
      </c>
      <c r="E547" t="s">
        <v>322</v>
      </c>
      <c r="F547">
        <v>2020</v>
      </c>
      <c r="G547" t="str">
        <f t="shared" si="8"/>
        <v>STEM SOC2020</v>
      </c>
    </row>
    <row r="548" spans="1:7" x14ac:dyDescent="0.35">
      <c r="A548">
        <v>3111</v>
      </c>
      <c r="B548" t="str">
        <f>IF(F548=2020,INDEX(SOC2020_Structure!E:E,MATCH(sectorLookup!A548,SOC2020_Structure!D:D,0)),INDEX(SOC2010_Structure!E:E,MATCH(sectorLookup!A548,SOC2010_Structure!D:D,0)))</f>
        <v>Laboratory technicians</v>
      </c>
      <c r="C548" t="s">
        <v>683</v>
      </c>
      <c r="D548" t="str">
        <f>INDEX('group info'!B:B,MATCH(sectorLookup!C548,'group info'!A:A,0))</f>
        <v>STEM</v>
      </c>
      <c r="E548" t="s">
        <v>322</v>
      </c>
      <c r="F548">
        <v>2020</v>
      </c>
      <c r="G548" t="str">
        <f t="shared" si="8"/>
        <v>STEM SOC2020</v>
      </c>
    </row>
    <row r="549" spans="1:7" x14ac:dyDescent="0.35">
      <c r="A549">
        <v>3112</v>
      </c>
      <c r="B549" t="str">
        <f>IF(F549=2020,INDEX(SOC2020_Structure!E:E,MATCH(sectorLookup!A549,SOC2020_Structure!D:D,0)),INDEX(SOC2010_Structure!E:E,MATCH(sectorLookup!A549,SOC2010_Structure!D:D,0)))</f>
        <v>Electrical and electronics technicians</v>
      </c>
      <c r="C549" t="s">
        <v>683</v>
      </c>
      <c r="D549" t="str">
        <f>INDEX('group info'!B:B,MATCH(sectorLookup!C549,'group info'!A:A,0))</f>
        <v>STEM</v>
      </c>
      <c r="E549" t="s">
        <v>322</v>
      </c>
      <c r="F549">
        <v>2020</v>
      </c>
      <c r="G549" t="str">
        <f t="shared" si="8"/>
        <v>STEM SOC2020</v>
      </c>
    </row>
    <row r="550" spans="1:7" x14ac:dyDescent="0.35">
      <c r="A550">
        <v>3113</v>
      </c>
      <c r="B550" t="str">
        <f>IF(F550=2020,INDEX(SOC2020_Structure!E:E,MATCH(sectorLookup!A550,SOC2020_Structure!D:D,0)),INDEX(SOC2010_Structure!E:E,MATCH(sectorLookup!A550,SOC2010_Structure!D:D,0)))</f>
        <v>Engineering technicians</v>
      </c>
      <c r="C550" t="s">
        <v>683</v>
      </c>
      <c r="D550" t="str">
        <f>INDEX('group info'!B:B,MATCH(sectorLookup!C550,'group info'!A:A,0))</f>
        <v>STEM</v>
      </c>
      <c r="E550" t="s">
        <v>322</v>
      </c>
      <c r="F550">
        <v>2020</v>
      </c>
      <c r="G550" t="str">
        <f t="shared" si="8"/>
        <v>STEM SOC2020</v>
      </c>
    </row>
    <row r="551" spans="1:7" x14ac:dyDescent="0.35">
      <c r="A551">
        <v>3114</v>
      </c>
      <c r="B551" t="str">
        <f>IF(F551=2020,INDEX(SOC2020_Structure!E:E,MATCH(sectorLookup!A551,SOC2020_Structure!D:D,0)),INDEX(SOC2010_Structure!E:E,MATCH(sectorLookup!A551,SOC2010_Structure!D:D,0)))</f>
        <v>Building and civil engineering technicians</v>
      </c>
      <c r="C551" t="s">
        <v>683</v>
      </c>
      <c r="D551" t="str">
        <f>INDEX('group info'!B:B,MATCH(sectorLookup!C551,'group info'!A:A,0))</f>
        <v>STEM</v>
      </c>
      <c r="E551" t="s">
        <v>322</v>
      </c>
      <c r="F551">
        <v>2020</v>
      </c>
      <c r="G551" t="str">
        <f t="shared" si="8"/>
        <v>STEM SOC2020</v>
      </c>
    </row>
    <row r="552" spans="1:7" x14ac:dyDescent="0.35">
      <c r="A552">
        <v>3115</v>
      </c>
      <c r="B552" t="str">
        <f>IF(F552=2020,INDEX(SOC2020_Structure!E:E,MATCH(sectorLookup!A552,SOC2020_Structure!D:D,0)),INDEX(SOC2010_Structure!E:E,MATCH(sectorLookup!A552,SOC2010_Structure!D:D,0)))</f>
        <v>Quality assurance technicians</v>
      </c>
      <c r="C552" t="s">
        <v>683</v>
      </c>
      <c r="D552" t="str">
        <f>INDEX('group info'!B:B,MATCH(sectorLookup!C552,'group info'!A:A,0))</f>
        <v>STEM</v>
      </c>
      <c r="E552" t="s">
        <v>322</v>
      </c>
      <c r="F552">
        <v>2020</v>
      </c>
      <c r="G552" t="str">
        <f t="shared" si="8"/>
        <v>STEM SOC2020</v>
      </c>
    </row>
    <row r="553" spans="1:7" x14ac:dyDescent="0.35">
      <c r="A553">
        <v>3116</v>
      </c>
      <c r="B553" t="str">
        <f>IF(F553=2020,INDEX(SOC2020_Structure!E:E,MATCH(sectorLookup!A553,SOC2020_Structure!D:D,0)),INDEX(SOC2010_Structure!E:E,MATCH(sectorLookup!A553,SOC2010_Structure!D:D,0)))</f>
        <v>Planning, process and production technicians</v>
      </c>
      <c r="C553" t="s">
        <v>683</v>
      </c>
      <c r="D553" t="str">
        <f>INDEX('group info'!B:B,MATCH(sectorLookup!C553,'group info'!A:A,0))</f>
        <v>STEM</v>
      </c>
      <c r="E553" t="s">
        <v>322</v>
      </c>
      <c r="F553">
        <v>2020</v>
      </c>
      <c r="G553" t="str">
        <f t="shared" si="8"/>
        <v>STEM SOC2020</v>
      </c>
    </row>
    <row r="554" spans="1:7" x14ac:dyDescent="0.35">
      <c r="A554">
        <v>3119</v>
      </c>
      <c r="B554" t="str">
        <f>IF(F554=2020,INDEX(SOC2020_Structure!E:E,MATCH(sectorLookup!A554,SOC2020_Structure!D:D,0)),INDEX(SOC2010_Structure!E:E,MATCH(sectorLookup!A554,SOC2010_Structure!D:D,0)))</f>
        <v>Science, engineering and production technicians n.e.c.</v>
      </c>
      <c r="C554" t="s">
        <v>683</v>
      </c>
      <c r="D554" t="str">
        <f>INDEX('group info'!B:B,MATCH(sectorLookup!C554,'group info'!A:A,0))</f>
        <v>STEM</v>
      </c>
      <c r="E554" t="s">
        <v>322</v>
      </c>
      <c r="F554">
        <v>2020</v>
      </c>
      <c r="G554" t="str">
        <f t="shared" si="8"/>
        <v>STEM SOC2020</v>
      </c>
    </row>
    <row r="555" spans="1:7" x14ac:dyDescent="0.35">
      <c r="A555">
        <v>3120</v>
      </c>
      <c r="B555" t="str">
        <f>IF(F555=2020,INDEX(SOC2020_Structure!E:E,MATCH(sectorLookup!A555,SOC2020_Structure!D:D,0)),INDEX(SOC2010_Structure!E:E,MATCH(sectorLookup!A555,SOC2010_Structure!D:D,0)))</f>
        <v>CAD, drawing and architectural technicians</v>
      </c>
      <c r="C555" t="s">
        <v>683</v>
      </c>
      <c r="D555" t="str">
        <f>INDEX('group info'!B:B,MATCH(sectorLookup!C555,'group info'!A:A,0))</f>
        <v>STEM</v>
      </c>
      <c r="E555" t="s">
        <v>322</v>
      </c>
      <c r="F555">
        <v>2020</v>
      </c>
      <c r="G555" t="str">
        <f t="shared" si="8"/>
        <v>STEM SOC2020</v>
      </c>
    </row>
    <row r="556" spans="1:7" x14ac:dyDescent="0.35">
      <c r="A556">
        <v>3131</v>
      </c>
      <c r="B556" t="str">
        <f>IF(F556=2020,INDEX(SOC2020_Structure!E:E,MATCH(sectorLookup!A556,SOC2020_Structure!D:D,0)),INDEX(SOC2010_Structure!E:E,MATCH(sectorLookup!A556,SOC2010_Structure!D:D,0)))</f>
        <v>IT operations technicians</v>
      </c>
      <c r="C556" t="s">
        <v>683</v>
      </c>
      <c r="D556" t="str">
        <f>INDEX('group info'!B:B,MATCH(sectorLookup!C556,'group info'!A:A,0))</f>
        <v>STEM</v>
      </c>
      <c r="E556" t="s">
        <v>322</v>
      </c>
      <c r="F556">
        <v>2020</v>
      </c>
      <c r="G556" t="str">
        <f t="shared" si="8"/>
        <v>STEM SOC2020</v>
      </c>
    </row>
    <row r="557" spans="1:7" x14ac:dyDescent="0.35">
      <c r="A557">
        <v>3132</v>
      </c>
      <c r="B557" t="str">
        <f>IF(F557=2020,INDEX(SOC2020_Structure!E:E,MATCH(sectorLookup!A557,SOC2020_Structure!D:D,0)),INDEX(SOC2010_Structure!E:E,MATCH(sectorLookup!A557,SOC2010_Structure!D:D,0)))</f>
        <v>IT user support technicians</v>
      </c>
      <c r="C557" t="s">
        <v>683</v>
      </c>
      <c r="D557" t="str">
        <f>INDEX('group info'!B:B,MATCH(sectorLookup!C557,'group info'!A:A,0))</f>
        <v>STEM</v>
      </c>
      <c r="E557" t="s">
        <v>322</v>
      </c>
      <c r="F557">
        <v>2020</v>
      </c>
      <c r="G557" t="str">
        <f t="shared" si="8"/>
        <v>STEM SOC2020</v>
      </c>
    </row>
    <row r="558" spans="1:7" x14ac:dyDescent="0.35">
      <c r="A558">
        <v>3133</v>
      </c>
      <c r="B558" t="str">
        <f>IF(F558=2020,INDEX(SOC2020_Structure!E:E,MATCH(sectorLookup!A558,SOC2020_Structure!D:D,0)),INDEX(SOC2010_Structure!E:E,MATCH(sectorLookup!A558,SOC2010_Structure!D:D,0)))</f>
        <v>Database administrators and web content technicians</v>
      </c>
      <c r="C558" t="s">
        <v>683</v>
      </c>
      <c r="D558" t="str">
        <f>INDEX('group info'!B:B,MATCH(sectorLookup!C558,'group info'!A:A,0))</f>
        <v>STEM</v>
      </c>
      <c r="E558" t="s">
        <v>322</v>
      </c>
      <c r="F558">
        <v>2020</v>
      </c>
      <c r="G558" t="str">
        <f t="shared" si="8"/>
        <v>STEM SOC2020</v>
      </c>
    </row>
    <row r="559" spans="1:7" x14ac:dyDescent="0.35">
      <c r="A559">
        <v>3311</v>
      </c>
      <c r="B559" t="str">
        <f>IF(F559=2020,INDEX(SOC2020_Structure!E:E,MATCH(sectorLookup!A559,SOC2020_Structure!D:D,0)),INDEX(SOC2010_Structure!E:E,MATCH(sectorLookup!A559,SOC2010_Structure!D:D,0)))</f>
        <v>Non-commissioned officers and other ranks</v>
      </c>
      <c r="C559" t="s">
        <v>683</v>
      </c>
      <c r="D559" t="str">
        <f>INDEX('group info'!B:B,MATCH(sectorLookup!C559,'group info'!A:A,0))</f>
        <v>STEM</v>
      </c>
      <c r="E559" t="s">
        <v>322</v>
      </c>
      <c r="F559">
        <v>2020</v>
      </c>
      <c r="G559" t="str">
        <f t="shared" si="8"/>
        <v>STEM SOC2020</v>
      </c>
    </row>
    <row r="560" spans="1:7" x14ac:dyDescent="0.35">
      <c r="A560">
        <v>3313</v>
      </c>
      <c r="B560" t="str">
        <f>IF(F560=2020,INDEX(SOC2020_Structure!E:E,MATCH(sectorLookup!A560,SOC2020_Structure!D:D,0)),INDEX(SOC2010_Structure!E:E,MATCH(sectorLookup!A560,SOC2010_Structure!D:D,0)))</f>
        <v>Fire service officers (watch manager and below)</v>
      </c>
      <c r="C560" t="s">
        <v>683</v>
      </c>
      <c r="D560" t="str">
        <f>INDEX('group info'!B:B,MATCH(sectorLookup!C560,'group info'!A:A,0))</f>
        <v>STEM</v>
      </c>
      <c r="E560" t="s">
        <v>322</v>
      </c>
      <c r="F560">
        <v>2020</v>
      </c>
      <c r="G560" t="str">
        <f t="shared" si="8"/>
        <v>STEM SOC2020</v>
      </c>
    </row>
    <row r="561" spans="1:7" x14ac:dyDescent="0.35">
      <c r="A561">
        <v>3417</v>
      </c>
      <c r="B561" t="str">
        <f>IF(F561=2020,INDEX(SOC2020_Structure!E:E,MATCH(sectorLookup!A561,SOC2020_Structure!D:D,0)),INDEX(SOC2010_Structure!E:E,MATCH(sectorLookup!A561,SOC2010_Structure!D:D,0)))</f>
        <v>Photographers, audio-visual and broadcasting equipment operators</v>
      </c>
      <c r="C561" t="s">
        <v>683</v>
      </c>
      <c r="D561" t="str">
        <f>INDEX('group info'!B:B,MATCH(sectorLookup!C561,'group info'!A:A,0))</f>
        <v>STEM</v>
      </c>
      <c r="E561" t="s">
        <v>322</v>
      </c>
      <c r="F561">
        <v>2020</v>
      </c>
      <c r="G561" t="str">
        <f t="shared" si="8"/>
        <v>STEM SOC2020</v>
      </c>
    </row>
    <row r="562" spans="1:7" x14ac:dyDescent="0.35">
      <c r="A562">
        <v>3429</v>
      </c>
      <c r="B562" t="str">
        <f>IF(F562=2020,INDEX(SOC2020_Structure!E:E,MATCH(sectorLookup!A562,SOC2020_Structure!D:D,0)),INDEX(SOC2010_Structure!E:E,MATCH(sectorLookup!A562,SOC2010_Structure!D:D,0)))</f>
        <v>Design occupations n.e.c.</v>
      </c>
      <c r="C562" t="s">
        <v>683</v>
      </c>
      <c r="D562" t="str">
        <f>INDEX('group info'!B:B,MATCH(sectorLookup!C562,'group info'!A:A,0))</f>
        <v>STEM</v>
      </c>
      <c r="E562" t="s">
        <v>322</v>
      </c>
      <c r="F562">
        <v>2020</v>
      </c>
      <c r="G562" t="str">
        <f t="shared" si="8"/>
        <v>STEM SOC2020</v>
      </c>
    </row>
    <row r="563" spans="1:7" x14ac:dyDescent="0.35">
      <c r="A563">
        <v>3511</v>
      </c>
      <c r="B563" t="str">
        <f>IF(F563=2020,INDEX(SOC2020_Structure!E:E,MATCH(sectorLookup!A563,SOC2020_Structure!D:D,0)),INDEX(SOC2010_Structure!E:E,MATCH(sectorLookup!A563,SOC2010_Structure!D:D,0)))</f>
        <v>Aircraft pilots and air traffic controllers</v>
      </c>
      <c r="C563" t="s">
        <v>683</v>
      </c>
      <c r="D563" t="str">
        <f>INDEX('group info'!B:B,MATCH(sectorLookup!C563,'group info'!A:A,0))</f>
        <v>STEM</v>
      </c>
      <c r="E563" t="s">
        <v>322</v>
      </c>
      <c r="F563">
        <v>2020</v>
      </c>
      <c r="G563" t="str">
        <f t="shared" si="8"/>
        <v>STEM SOC2020</v>
      </c>
    </row>
    <row r="564" spans="1:7" x14ac:dyDescent="0.35">
      <c r="A564">
        <v>3512</v>
      </c>
      <c r="B564" t="str">
        <f>IF(F564=2020,INDEX(SOC2020_Structure!E:E,MATCH(sectorLookup!A564,SOC2020_Structure!D:D,0)),INDEX(SOC2010_Structure!E:E,MATCH(sectorLookup!A564,SOC2010_Structure!D:D,0)))</f>
        <v>Ship and hovercraft officers</v>
      </c>
      <c r="C564" t="s">
        <v>683</v>
      </c>
      <c r="D564" t="str">
        <f>INDEX('group info'!B:B,MATCH(sectorLookup!C564,'group info'!A:A,0))</f>
        <v>STEM</v>
      </c>
      <c r="E564" t="s">
        <v>322</v>
      </c>
      <c r="F564">
        <v>2020</v>
      </c>
      <c r="G564" t="str">
        <f t="shared" si="8"/>
        <v>STEM SOC2020</v>
      </c>
    </row>
    <row r="565" spans="1:7" x14ac:dyDescent="0.35">
      <c r="A565">
        <v>3531</v>
      </c>
      <c r="B565" t="str">
        <f>IF(F565=2020,INDEX(SOC2020_Structure!E:E,MATCH(sectorLookup!A565,SOC2020_Structure!D:D,0)),INDEX(SOC2010_Structure!E:E,MATCH(sectorLookup!A565,SOC2010_Structure!D:D,0)))</f>
        <v>Brokers</v>
      </c>
      <c r="C565" t="s">
        <v>683</v>
      </c>
      <c r="D565" t="str">
        <f>INDEX('group info'!B:B,MATCH(sectorLookup!C565,'group info'!A:A,0))</f>
        <v>STEM</v>
      </c>
      <c r="E565" t="s">
        <v>322</v>
      </c>
      <c r="F565">
        <v>2020</v>
      </c>
      <c r="G565" t="str">
        <f t="shared" si="8"/>
        <v>STEM SOC2020</v>
      </c>
    </row>
    <row r="566" spans="1:7" x14ac:dyDescent="0.35">
      <c r="A566">
        <v>3532</v>
      </c>
      <c r="B566" t="str">
        <f>IF(F566=2020,INDEX(SOC2020_Structure!E:E,MATCH(sectorLookup!A566,SOC2020_Structure!D:D,0)),INDEX(SOC2010_Structure!E:E,MATCH(sectorLookup!A566,SOC2010_Structure!D:D,0)))</f>
        <v>Insurance underwriters</v>
      </c>
      <c r="C566" t="s">
        <v>683</v>
      </c>
      <c r="D566" t="str">
        <f>INDEX('group info'!B:B,MATCH(sectorLookup!C566,'group info'!A:A,0))</f>
        <v>STEM</v>
      </c>
      <c r="E566" t="s">
        <v>322</v>
      </c>
      <c r="F566">
        <v>2020</v>
      </c>
      <c r="G566" t="str">
        <f t="shared" si="8"/>
        <v>STEM SOC2020</v>
      </c>
    </row>
    <row r="567" spans="1:7" x14ac:dyDescent="0.35">
      <c r="A567">
        <v>3533</v>
      </c>
      <c r="B567" t="str">
        <f>IF(F567=2020,INDEX(SOC2020_Structure!E:E,MATCH(sectorLookup!A567,SOC2020_Structure!D:D,0)),INDEX(SOC2010_Structure!E:E,MATCH(sectorLookup!A567,SOC2010_Structure!D:D,0)))</f>
        <v>Financial and accounting technicians</v>
      </c>
      <c r="C567" t="s">
        <v>683</v>
      </c>
      <c r="D567" t="str">
        <f>INDEX('group info'!B:B,MATCH(sectorLookup!C567,'group info'!A:A,0))</f>
        <v>STEM</v>
      </c>
      <c r="E567" t="s">
        <v>322</v>
      </c>
      <c r="F567">
        <v>2020</v>
      </c>
      <c r="G567" t="str">
        <f t="shared" si="8"/>
        <v>STEM SOC2020</v>
      </c>
    </row>
    <row r="568" spans="1:7" x14ac:dyDescent="0.35">
      <c r="A568">
        <v>3541</v>
      </c>
      <c r="B568" t="str">
        <f>IF(F568=2020,INDEX(SOC2020_Structure!E:E,MATCH(sectorLookup!A568,SOC2020_Structure!D:D,0)),INDEX(SOC2010_Structure!E:E,MATCH(sectorLookup!A568,SOC2010_Structure!D:D,0)))</f>
        <v>Estimators, valuers and assessors</v>
      </c>
      <c r="C568" t="s">
        <v>683</v>
      </c>
      <c r="D568" t="str">
        <f>INDEX('group info'!B:B,MATCH(sectorLookup!C568,'group info'!A:A,0))</f>
        <v>STEM</v>
      </c>
      <c r="E568" t="s">
        <v>322</v>
      </c>
      <c r="F568">
        <v>2020</v>
      </c>
      <c r="G568" t="str">
        <f t="shared" si="8"/>
        <v>STEM SOC2020</v>
      </c>
    </row>
    <row r="569" spans="1:7" x14ac:dyDescent="0.35">
      <c r="A569">
        <v>3544</v>
      </c>
      <c r="B569" t="str">
        <f>IF(F569=2020,INDEX(SOC2020_Structure!E:E,MATCH(sectorLookup!A569,SOC2020_Structure!D:D,0)),INDEX(SOC2010_Structure!E:E,MATCH(sectorLookup!A569,SOC2010_Structure!D:D,0)))</f>
        <v>Data analysts</v>
      </c>
      <c r="C569" t="s">
        <v>683</v>
      </c>
      <c r="D569" t="str">
        <f>INDEX('group info'!B:B,MATCH(sectorLookup!C569,'group info'!A:A,0))</f>
        <v>STEM</v>
      </c>
      <c r="E569" t="s">
        <v>322</v>
      </c>
      <c r="F569">
        <v>2020</v>
      </c>
      <c r="G569" t="str">
        <f t="shared" si="8"/>
        <v>STEM SOC2020</v>
      </c>
    </row>
    <row r="570" spans="1:7" x14ac:dyDescent="0.35">
      <c r="A570">
        <v>3573</v>
      </c>
      <c r="B570" t="str">
        <f>IF(F570=2020,INDEX(SOC2020_Structure!E:E,MATCH(sectorLookup!A570,SOC2020_Structure!D:D,0)),INDEX(SOC2010_Structure!E:E,MATCH(sectorLookup!A570,SOC2010_Structure!D:D,0)))</f>
        <v>Information technology trainers</v>
      </c>
      <c r="C570" t="s">
        <v>683</v>
      </c>
      <c r="D570" t="str">
        <f>INDEX('group info'!B:B,MATCH(sectorLookup!C570,'group info'!A:A,0))</f>
        <v>STEM</v>
      </c>
      <c r="E570" t="s">
        <v>322</v>
      </c>
      <c r="F570">
        <v>2020</v>
      </c>
      <c r="G570" t="str">
        <f t="shared" si="8"/>
        <v>STEM SOC2020</v>
      </c>
    </row>
    <row r="571" spans="1:7" x14ac:dyDescent="0.35">
      <c r="A571">
        <v>3581</v>
      </c>
      <c r="B571" t="str">
        <f>IF(F571=2020,INDEX(SOC2020_Structure!E:E,MATCH(sectorLookup!A571,SOC2020_Structure!D:D,0)),INDEX(SOC2010_Structure!E:E,MATCH(sectorLookup!A571,SOC2010_Structure!D:D,0)))</f>
        <v>Inspectors of standards and regulations</v>
      </c>
      <c r="C571" t="s">
        <v>683</v>
      </c>
      <c r="D571" t="str">
        <f>INDEX('group info'!B:B,MATCH(sectorLookup!C571,'group info'!A:A,0))</f>
        <v>STEM</v>
      </c>
      <c r="E571" t="s">
        <v>322</v>
      </c>
      <c r="F571">
        <v>2020</v>
      </c>
      <c r="G571" t="str">
        <f t="shared" si="8"/>
        <v>STEM SOC2020</v>
      </c>
    </row>
    <row r="572" spans="1:7" x14ac:dyDescent="0.35">
      <c r="A572">
        <v>3582</v>
      </c>
      <c r="B572" t="str">
        <f>IF(F572=2020,INDEX(SOC2020_Structure!E:E,MATCH(sectorLookup!A572,SOC2020_Structure!D:D,0)),INDEX(SOC2010_Structure!E:E,MATCH(sectorLookup!A572,SOC2010_Structure!D:D,0)))</f>
        <v>Health and safety managers and officers</v>
      </c>
      <c r="C572" t="s">
        <v>683</v>
      </c>
      <c r="D572" t="str">
        <f>INDEX('group info'!B:B,MATCH(sectorLookup!C572,'group info'!A:A,0))</f>
        <v>STEM</v>
      </c>
      <c r="E572" t="s">
        <v>322</v>
      </c>
      <c r="F572">
        <v>2020</v>
      </c>
      <c r="G572" t="str">
        <f t="shared" si="8"/>
        <v>STEM SOC2020</v>
      </c>
    </row>
    <row r="573" spans="1:7" x14ac:dyDescent="0.35">
      <c r="A573">
        <v>4121</v>
      </c>
      <c r="B573" t="str">
        <f>IF(F573=2020,INDEX(SOC2020_Structure!E:E,MATCH(sectorLookup!A573,SOC2020_Structure!D:D,0)),INDEX(SOC2010_Structure!E:E,MATCH(sectorLookup!A573,SOC2010_Structure!D:D,0)))</f>
        <v>Credit controllers</v>
      </c>
      <c r="C573" t="s">
        <v>683</v>
      </c>
      <c r="D573" t="str">
        <f>INDEX('group info'!B:B,MATCH(sectorLookup!C573,'group info'!A:A,0))</f>
        <v>STEM</v>
      </c>
      <c r="E573" t="s">
        <v>322</v>
      </c>
      <c r="F573">
        <v>2020</v>
      </c>
      <c r="G573" t="str">
        <f t="shared" si="8"/>
        <v>STEM SOC2020</v>
      </c>
    </row>
    <row r="574" spans="1:7" x14ac:dyDescent="0.35">
      <c r="A574">
        <v>4122</v>
      </c>
      <c r="B574" t="str">
        <f>IF(F574=2020,INDEX(SOC2020_Structure!E:E,MATCH(sectorLookup!A574,SOC2020_Structure!D:D,0)),INDEX(SOC2010_Structure!E:E,MATCH(sectorLookup!A574,SOC2010_Structure!D:D,0)))</f>
        <v>Book-keepers, payroll managers and wages clerks</v>
      </c>
      <c r="C574" t="s">
        <v>683</v>
      </c>
      <c r="D574" t="str">
        <f>INDEX('group info'!B:B,MATCH(sectorLookup!C574,'group info'!A:A,0))</f>
        <v>STEM</v>
      </c>
      <c r="E574" t="s">
        <v>322</v>
      </c>
      <c r="F574">
        <v>2020</v>
      </c>
      <c r="G574" t="str">
        <f t="shared" si="8"/>
        <v>STEM SOC2020</v>
      </c>
    </row>
    <row r="575" spans="1:7" x14ac:dyDescent="0.35">
      <c r="A575">
        <v>4124</v>
      </c>
      <c r="B575" t="str">
        <f>IF(F575=2020,INDEX(SOC2020_Structure!E:E,MATCH(sectorLookup!A575,SOC2020_Structure!D:D,0)),INDEX(SOC2010_Structure!E:E,MATCH(sectorLookup!A575,SOC2010_Structure!D:D,0)))</f>
        <v>Finance officers</v>
      </c>
      <c r="C575" t="s">
        <v>683</v>
      </c>
      <c r="D575" t="str">
        <f>INDEX('group info'!B:B,MATCH(sectorLookup!C575,'group info'!A:A,0))</f>
        <v>STEM</v>
      </c>
      <c r="E575" t="s">
        <v>322</v>
      </c>
      <c r="F575">
        <v>2020</v>
      </c>
      <c r="G575" t="str">
        <f t="shared" si="8"/>
        <v>STEM SOC2020</v>
      </c>
    </row>
    <row r="576" spans="1:7" x14ac:dyDescent="0.35">
      <c r="A576">
        <v>4129</v>
      </c>
      <c r="B576" t="str">
        <f>IF(F576=2020,INDEX(SOC2020_Structure!E:E,MATCH(sectorLookup!A576,SOC2020_Structure!D:D,0)),INDEX(SOC2010_Structure!E:E,MATCH(sectorLookup!A576,SOC2010_Structure!D:D,0)))</f>
        <v>Financial administrative occupations n.e.c.</v>
      </c>
      <c r="C576" t="s">
        <v>683</v>
      </c>
      <c r="D576" t="str">
        <f>INDEX('group info'!B:B,MATCH(sectorLookup!C576,'group info'!A:A,0))</f>
        <v>STEM</v>
      </c>
      <c r="E576" t="s">
        <v>322</v>
      </c>
      <c r="F576">
        <v>2020</v>
      </c>
      <c r="G576" t="str">
        <f t="shared" si="8"/>
        <v>STEM SOC2020</v>
      </c>
    </row>
    <row r="577" spans="1:7" x14ac:dyDescent="0.35">
      <c r="A577">
        <v>5211</v>
      </c>
      <c r="B577" t="str">
        <f>IF(F577=2020,INDEX(SOC2020_Structure!E:E,MATCH(sectorLookup!A577,SOC2020_Structure!D:D,0)),INDEX(SOC2010_Structure!E:E,MATCH(sectorLookup!A577,SOC2010_Structure!D:D,0)))</f>
        <v>Sheet metal workers</v>
      </c>
      <c r="C577" t="s">
        <v>683</v>
      </c>
      <c r="D577" t="str">
        <f>INDEX('group info'!B:B,MATCH(sectorLookup!C577,'group info'!A:A,0))</f>
        <v>STEM</v>
      </c>
      <c r="E577" t="s">
        <v>322</v>
      </c>
      <c r="F577">
        <v>2020</v>
      </c>
      <c r="G577" t="str">
        <f t="shared" si="8"/>
        <v>STEM SOC2020</v>
      </c>
    </row>
    <row r="578" spans="1:7" x14ac:dyDescent="0.35">
      <c r="A578">
        <v>5212</v>
      </c>
      <c r="B578" t="str">
        <f>IF(F578=2020,INDEX(SOC2020_Structure!E:E,MATCH(sectorLookup!A578,SOC2020_Structure!D:D,0)),INDEX(SOC2010_Structure!E:E,MATCH(sectorLookup!A578,SOC2010_Structure!D:D,0)))</f>
        <v>Metal plate workers, smiths, moulders and related occupations</v>
      </c>
      <c r="C578" t="s">
        <v>683</v>
      </c>
      <c r="D578" t="str">
        <f>INDEX('group info'!B:B,MATCH(sectorLookup!C578,'group info'!A:A,0))</f>
        <v>STEM</v>
      </c>
      <c r="E578" t="s">
        <v>322</v>
      </c>
      <c r="F578">
        <v>2020</v>
      </c>
      <c r="G578" t="str">
        <f t="shared" si="8"/>
        <v>STEM SOC2020</v>
      </c>
    </row>
    <row r="579" spans="1:7" x14ac:dyDescent="0.35">
      <c r="A579">
        <v>5213</v>
      </c>
      <c r="B579" t="str">
        <f>IF(F579=2020,INDEX(SOC2020_Structure!E:E,MATCH(sectorLookup!A579,SOC2020_Structure!D:D,0)),INDEX(SOC2010_Structure!E:E,MATCH(sectorLookup!A579,SOC2010_Structure!D:D,0)))</f>
        <v>Welding trades</v>
      </c>
      <c r="C579" t="s">
        <v>683</v>
      </c>
      <c r="D579" t="str">
        <f>INDEX('group info'!B:B,MATCH(sectorLookup!C579,'group info'!A:A,0))</f>
        <v>STEM</v>
      </c>
      <c r="E579" t="s">
        <v>322</v>
      </c>
      <c r="F579">
        <v>2020</v>
      </c>
      <c r="G579" t="str">
        <f t="shared" ref="G579:G642" si="9">D579&amp;" SOC"&amp;F579</f>
        <v>STEM SOC2020</v>
      </c>
    </row>
    <row r="580" spans="1:7" x14ac:dyDescent="0.35">
      <c r="A580">
        <v>5214</v>
      </c>
      <c r="B580" t="str">
        <f>IF(F580=2020,INDEX(SOC2020_Structure!E:E,MATCH(sectorLookup!A580,SOC2020_Structure!D:D,0)),INDEX(SOC2010_Structure!E:E,MATCH(sectorLookup!A580,SOC2010_Structure!D:D,0)))</f>
        <v>Pipe fitters</v>
      </c>
      <c r="C580" t="s">
        <v>683</v>
      </c>
      <c r="D580" t="str">
        <f>INDEX('group info'!B:B,MATCH(sectorLookup!C580,'group info'!A:A,0))</f>
        <v>STEM</v>
      </c>
      <c r="E580" t="s">
        <v>322</v>
      </c>
      <c r="F580">
        <v>2020</v>
      </c>
      <c r="G580" t="str">
        <f t="shared" si="9"/>
        <v>STEM SOC2020</v>
      </c>
    </row>
    <row r="581" spans="1:7" x14ac:dyDescent="0.35">
      <c r="A581">
        <v>5221</v>
      </c>
      <c r="B581" t="str">
        <f>IF(F581=2020,INDEX(SOC2020_Structure!E:E,MATCH(sectorLookup!A581,SOC2020_Structure!D:D,0)),INDEX(SOC2010_Structure!E:E,MATCH(sectorLookup!A581,SOC2010_Structure!D:D,0)))</f>
        <v>Metal machining setters and setter-operators</v>
      </c>
      <c r="C581" t="s">
        <v>683</v>
      </c>
      <c r="D581" t="str">
        <f>INDEX('group info'!B:B,MATCH(sectorLookup!C581,'group info'!A:A,0))</f>
        <v>STEM</v>
      </c>
      <c r="E581" t="s">
        <v>322</v>
      </c>
      <c r="F581">
        <v>2020</v>
      </c>
      <c r="G581" t="str">
        <f t="shared" si="9"/>
        <v>STEM SOC2020</v>
      </c>
    </row>
    <row r="582" spans="1:7" x14ac:dyDescent="0.35">
      <c r="A582">
        <v>5222</v>
      </c>
      <c r="B582" t="str">
        <f>IF(F582=2020,INDEX(SOC2020_Structure!E:E,MATCH(sectorLookup!A582,SOC2020_Structure!D:D,0)),INDEX(SOC2010_Structure!E:E,MATCH(sectorLookup!A582,SOC2010_Structure!D:D,0)))</f>
        <v>Tool makers, tool fitters and markers-out</v>
      </c>
      <c r="C582" t="s">
        <v>683</v>
      </c>
      <c r="D582" t="str">
        <f>INDEX('group info'!B:B,MATCH(sectorLookup!C582,'group info'!A:A,0))</f>
        <v>STEM</v>
      </c>
      <c r="E582" t="s">
        <v>322</v>
      </c>
      <c r="F582">
        <v>2020</v>
      </c>
      <c r="G582" t="str">
        <f t="shared" si="9"/>
        <v>STEM SOC2020</v>
      </c>
    </row>
    <row r="583" spans="1:7" x14ac:dyDescent="0.35">
      <c r="A583">
        <v>5223</v>
      </c>
      <c r="B583" t="str">
        <f>IF(F583=2020,INDEX(SOC2020_Structure!E:E,MATCH(sectorLookup!A583,SOC2020_Structure!D:D,0)),INDEX(SOC2010_Structure!E:E,MATCH(sectorLookup!A583,SOC2010_Structure!D:D,0)))</f>
        <v>Metal working production and maintenance fitters</v>
      </c>
      <c r="C583" t="s">
        <v>683</v>
      </c>
      <c r="D583" t="str">
        <f>INDEX('group info'!B:B,MATCH(sectorLookup!C583,'group info'!A:A,0))</f>
        <v>STEM</v>
      </c>
      <c r="E583" t="s">
        <v>322</v>
      </c>
      <c r="F583">
        <v>2020</v>
      </c>
      <c r="G583" t="str">
        <f t="shared" si="9"/>
        <v>STEM SOC2020</v>
      </c>
    </row>
    <row r="584" spans="1:7" x14ac:dyDescent="0.35">
      <c r="A584">
        <v>5224</v>
      </c>
      <c r="B584" t="str">
        <f>IF(F584=2020,INDEX(SOC2020_Structure!E:E,MATCH(sectorLookup!A584,SOC2020_Structure!D:D,0)),INDEX(SOC2010_Structure!E:E,MATCH(sectorLookup!A584,SOC2010_Structure!D:D,0)))</f>
        <v>Precision instrument makers and repairers</v>
      </c>
      <c r="C584" t="s">
        <v>683</v>
      </c>
      <c r="D584" t="str">
        <f>INDEX('group info'!B:B,MATCH(sectorLookup!C584,'group info'!A:A,0))</f>
        <v>STEM</v>
      </c>
      <c r="E584" t="s">
        <v>322</v>
      </c>
      <c r="F584">
        <v>2020</v>
      </c>
      <c r="G584" t="str">
        <f t="shared" si="9"/>
        <v>STEM SOC2020</v>
      </c>
    </row>
    <row r="585" spans="1:7" x14ac:dyDescent="0.35">
      <c r="A585">
        <v>5225</v>
      </c>
      <c r="B585" t="str">
        <f>IF(F585=2020,INDEX(SOC2020_Structure!E:E,MATCH(sectorLookup!A585,SOC2020_Structure!D:D,0)),INDEX(SOC2010_Structure!E:E,MATCH(sectorLookup!A585,SOC2010_Structure!D:D,0)))</f>
        <v>Air-conditioning and refrigeration installers and repairers</v>
      </c>
      <c r="C585" t="s">
        <v>683</v>
      </c>
      <c r="D585" t="str">
        <f>INDEX('group info'!B:B,MATCH(sectorLookup!C585,'group info'!A:A,0))</f>
        <v>STEM</v>
      </c>
      <c r="E585" t="s">
        <v>322</v>
      </c>
      <c r="F585">
        <v>2020</v>
      </c>
      <c r="G585" t="str">
        <f t="shared" si="9"/>
        <v>STEM SOC2020</v>
      </c>
    </row>
    <row r="586" spans="1:7" x14ac:dyDescent="0.35">
      <c r="A586">
        <v>5231</v>
      </c>
      <c r="B586" t="str">
        <f>IF(F586=2020,INDEX(SOC2020_Structure!E:E,MATCH(sectorLookup!A586,SOC2020_Structure!D:D,0)),INDEX(SOC2010_Structure!E:E,MATCH(sectorLookup!A586,SOC2010_Structure!D:D,0)))</f>
        <v>Vehicle technicians, mechanics and electricians</v>
      </c>
      <c r="C586" t="s">
        <v>683</v>
      </c>
      <c r="D586" t="str">
        <f>INDEX('group info'!B:B,MATCH(sectorLookup!C586,'group info'!A:A,0))</f>
        <v>STEM</v>
      </c>
      <c r="E586" t="s">
        <v>322</v>
      </c>
      <c r="F586">
        <v>2020</v>
      </c>
      <c r="G586" t="str">
        <f t="shared" si="9"/>
        <v>STEM SOC2020</v>
      </c>
    </row>
    <row r="587" spans="1:7" x14ac:dyDescent="0.35">
      <c r="A587">
        <v>5232</v>
      </c>
      <c r="B587" t="str">
        <f>IF(F587=2020,INDEX(SOC2020_Structure!E:E,MATCH(sectorLookup!A587,SOC2020_Structure!D:D,0)),INDEX(SOC2010_Structure!E:E,MATCH(sectorLookup!A587,SOC2010_Structure!D:D,0)))</f>
        <v>Vehicle body builders and repairers</v>
      </c>
      <c r="C587" t="s">
        <v>683</v>
      </c>
      <c r="D587" t="str">
        <f>INDEX('group info'!B:B,MATCH(sectorLookup!C587,'group info'!A:A,0))</f>
        <v>STEM</v>
      </c>
      <c r="E587" t="s">
        <v>322</v>
      </c>
      <c r="F587">
        <v>2020</v>
      </c>
      <c r="G587" t="str">
        <f t="shared" si="9"/>
        <v>STEM SOC2020</v>
      </c>
    </row>
    <row r="588" spans="1:7" x14ac:dyDescent="0.35">
      <c r="A588">
        <v>5233</v>
      </c>
      <c r="B588" t="str">
        <f>IF(F588=2020,INDEX(SOC2020_Structure!E:E,MATCH(sectorLookup!A588,SOC2020_Structure!D:D,0)),INDEX(SOC2010_Structure!E:E,MATCH(sectorLookup!A588,SOC2010_Structure!D:D,0)))</f>
        <v>Vehicle paint technicians</v>
      </c>
      <c r="C588" t="s">
        <v>683</v>
      </c>
      <c r="D588" t="str">
        <f>INDEX('group info'!B:B,MATCH(sectorLookup!C588,'group info'!A:A,0))</f>
        <v>STEM</v>
      </c>
      <c r="E588" t="s">
        <v>322</v>
      </c>
      <c r="F588">
        <v>2020</v>
      </c>
      <c r="G588" t="str">
        <f t="shared" si="9"/>
        <v>STEM SOC2020</v>
      </c>
    </row>
    <row r="589" spans="1:7" x14ac:dyDescent="0.35">
      <c r="A589">
        <v>5234</v>
      </c>
      <c r="B589" t="str">
        <f>IF(F589=2020,INDEX(SOC2020_Structure!E:E,MATCH(sectorLookup!A589,SOC2020_Structure!D:D,0)),INDEX(SOC2010_Structure!E:E,MATCH(sectorLookup!A589,SOC2010_Structure!D:D,0)))</f>
        <v>Aircraft maintenance and related trades</v>
      </c>
      <c r="C589" t="s">
        <v>683</v>
      </c>
      <c r="D589" t="str">
        <f>INDEX('group info'!B:B,MATCH(sectorLookup!C589,'group info'!A:A,0))</f>
        <v>STEM</v>
      </c>
      <c r="E589" t="s">
        <v>322</v>
      </c>
      <c r="F589">
        <v>2020</v>
      </c>
      <c r="G589" t="str">
        <f t="shared" si="9"/>
        <v>STEM SOC2020</v>
      </c>
    </row>
    <row r="590" spans="1:7" x14ac:dyDescent="0.35">
      <c r="A590">
        <v>5235</v>
      </c>
      <c r="B590" t="str">
        <f>IF(F590=2020,INDEX(SOC2020_Structure!E:E,MATCH(sectorLookup!A590,SOC2020_Structure!D:D,0)),INDEX(SOC2010_Structure!E:E,MATCH(sectorLookup!A590,SOC2010_Structure!D:D,0)))</f>
        <v>Boat and ship builders and repairers</v>
      </c>
      <c r="C590" t="s">
        <v>683</v>
      </c>
      <c r="D590" t="str">
        <f>INDEX('group info'!B:B,MATCH(sectorLookup!C590,'group info'!A:A,0))</f>
        <v>STEM</v>
      </c>
      <c r="E590" t="s">
        <v>322</v>
      </c>
      <c r="F590">
        <v>2020</v>
      </c>
      <c r="G590" t="str">
        <f t="shared" si="9"/>
        <v>STEM SOC2020</v>
      </c>
    </row>
    <row r="591" spans="1:7" x14ac:dyDescent="0.35">
      <c r="A591">
        <v>5236</v>
      </c>
      <c r="B591" t="str">
        <f>IF(F591=2020,INDEX(SOC2020_Structure!E:E,MATCH(sectorLookup!A591,SOC2020_Structure!D:D,0)),INDEX(SOC2010_Structure!E:E,MATCH(sectorLookup!A591,SOC2010_Structure!D:D,0)))</f>
        <v>Rail and rolling stock builders and repairers</v>
      </c>
      <c r="C591" t="s">
        <v>683</v>
      </c>
      <c r="D591" t="str">
        <f>INDEX('group info'!B:B,MATCH(sectorLookup!C591,'group info'!A:A,0))</f>
        <v>STEM</v>
      </c>
      <c r="E591" t="s">
        <v>322</v>
      </c>
      <c r="F591">
        <v>2020</v>
      </c>
      <c r="G591" t="str">
        <f t="shared" si="9"/>
        <v>STEM SOC2020</v>
      </c>
    </row>
    <row r="592" spans="1:7" x14ac:dyDescent="0.35">
      <c r="A592">
        <v>5241</v>
      </c>
      <c r="B592" t="str">
        <f>IF(F592=2020,INDEX(SOC2020_Structure!E:E,MATCH(sectorLookup!A592,SOC2020_Structure!D:D,0)),INDEX(SOC2010_Structure!E:E,MATCH(sectorLookup!A592,SOC2010_Structure!D:D,0)))</f>
        <v>Electricians and electrical fitters</v>
      </c>
      <c r="C592" t="s">
        <v>683</v>
      </c>
      <c r="D592" t="str">
        <f>INDEX('group info'!B:B,MATCH(sectorLookup!C592,'group info'!A:A,0))</f>
        <v>STEM</v>
      </c>
      <c r="E592" t="s">
        <v>322</v>
      </c>
      <c r="F592">
        <v>2020</v>
      </c>
      <c r="G592" t="str">
        <f t="shared" si="9"/>
        <v>STEM SOC2020</v>
      </c>
    </row>
    <row r="593" spans="1:7" x14ac:dyDescent="0.35">
      <c r="A593">
        <v>5242</v>
      </c>
      <c r="B593" t="str">
        <f>IF(F593=2020,INDEX(SOC2020_Structure!E:E,MATCH(sectorLookup!A593,SOC2020_Structure!D:D,0)),INDEX(SOC2010_Structure!E:E,MATCH(sectorLookup!A593,SOC2010_Structure!D:D,0)))</f>
        <v>Telecoms and related network installers and repairers</v>
      </c>
      <c r="C593" t="s">
        <v>683</v>
      </c>
      <c r="D593" t="str">
        <f>INDEX('group info'!B:B,MATCH(sectorLookup!C593,'group info'!A:A,0))</f>
        <v>STEM</v>
      </c>
      <c r="E593" t="s">
        <v>322</v>
      </c>
      <c r="F593">
        <v>2020</v>
      </c>
      <c r="G593" t="str">
        <f t="shared" si="9"/>
        <v>STEM SOC2020</v>
      </c>
    </row>
    <row r="594" spans="1:7" x14ac:dyDescent="0.35">
      <c r="A594">
        <v>5243</v>
      </c>
      <c r="B594" t="str">
        <f>IF(F594=2020,INDEX(SOC2020_Structure!E:E,MATCH(sectorLookup!A594,SOC2020_Structure!D:D,0)),INDEX(SOC2010_Structure!E:E,MATCH(sectorLookup!A594,SOC2010_Structure!D:D,0)))</f>
        <v>TV, video and audio servicers and repairers</v>
      </c>
      <c r="C594" t="s">
        <v>683</v>
      </c>
      <c r="D594" t="str">
        <f>INDEX('group info'!B:B,MATCH(sectorLookup!C594,'group info'!A:A,0))</f>
        <v>STEM</v>
      </c>
      <c r="E594" t="s">
        <v>322</v>
      </c>
      <c r="F594">
        <v>2020</v>
      </c>
      <c r="G594" t="str">
        <f t="shared" si="9"/>
        <v>STEM SOC2020</v>
      </c>
    </row>
    <row r="595" spans="1:7" x14ac:dyDescent="0.35">
      <c r="A595">
        <v>5244</v>
      </c>
      <c r="B595" t="str">
        <f>IF(F595=2020,INDEX(SOC2020_Structure!E:E,MATCH(sectorLookup!A595,SOC2020_Structure!D:D,0)),INDEX(SOC2010_Structure!E:E,MATCH(sectorLookup!A595,SOC2010_Structure!D:D,0)))</f>
        <v>Computer system and equipment installers and servicers</v>
      </c>
      <c r="C595" t="s">
        <v>683</v>
      </c>
      <c r="D595" t="str">
        <f>INDEX('group info'!B:B,MATCH(sectorLookup!C595,'group info'!A:A,0))</f>
        <v>STEM</v>
      </c>
      <c r="E595" t="s">
        <v>322</v>
      </c>
      <c r="F595">
        <v>2020</v>
      </c>
      <c r="G595" t="str">
        <f t="shared" si="9"/>
        <v>STEM SOC2020</v>
      </c>
    </row>
    <row r="596" spans="1:7" x14ac:dyDescent="0.35">
      <c r="A596">
        <v>5245</v>
      </c>
      <c r="B596" t="str">
        <f>IF(F596=2020,INDEX(SOC2020_Structure!E:E,MATCH(sectorLookup!A596,SOC2020_Structure!D:D,0)),INDEX(SOC2010_Structure!E:E,MATCH(sectorLookup!A596,SOC2010_Structure!D:D,0)))</f>
        <v>Security system installers and repairers</v>
      </c>
      <c r="C596" t="s">
        <v>683</v>
      </c>
      <c r="D596" t="str">
        <f>INDEX('group info'!B:B,MATCH(sectorLookup!C596,'group info'!A:A,0))</f>
        <v>STEM</v>
      </c>
      <c r="E596" t="s">
        <v>322</v>
      </c>
      <c r="F596">
        <v>2020</v>
      </c>
      <c r="G596" t="str">
        <f t="shared" si="9"/>
        <v>STEM SOC2020</v>
      </c>
    </row>
    <row r="597" spans="1:7" x14ac:dyDescent="0.35">
      <c r="A597">
        <v>5246</v>
      </c>
      <c r="B597" t="str">
        <f>IF(F597=2020,INDEX(SOC2020_Structure!E:E,MATCH(sectorLookup!A597,SOC2020_Structure!D:D,0)),INDEX(SOC2010_Structure!E:E,MATCH(sectorLookup!A597,SOC2010_Structure!D:D,0)))</f>
        <v>Electrical service and maintenance mechanics and repairers</v>
      </c>
      <c r="C597" t="s">
        <v>683</v>
      </c>
      <c r="D597" t="str">
        <f>INDEX('group info'!B:B,MATCH(sectorLookup!C597,'group info'!A:A,0))</f>
        <v>STEM</v>
      </c>
      <c r="E597" t="s">
        <v>322</v>
      </c>
      <c r="F597">
        <v>2020</v>
      </c>
      <c r="G597" t="str">
        <f t="shared" si="9"/>
        <v>STEM SOC2020</v>
      </c>
    </row>
    <row r="598" spans="1:7" x14ac:dyDescent="0.35">
      <c r="A598">
        <v>5249</v>
      </c>
      <c r="B598" t="str">
        <f>IF(F598=2020,INDEX(SOC2020_Structure!E:E,MATCH(sectorLookup!A598,SOC2020_Structure!D:D,0)),INDEX(SOC2010_Structure!E:E,MATCH(sectorLookup!A598,SOC2010_Structure!D:D,0)))</f>
        <v>Electrical and electronic trades n.e.c.</v>
      </c>
      <c r="C598" t="s">
        <v>683</v>
      </c>
      <c r="D598" t="str">
        <f>INDEX('group info'!B:B,MATCH(sectorLookup!C598,'group info'!A:A,0))</f>
        <v>STEM</v>
      </c>
      <c r="E598" t="s">
        <v>322</v>
      </c>
      <c r="F598">
        <v>2020</v>
      </c>
      <c r="G598" t="str">
        <f t="shared" si="9"/>
        <v>STEM SOC2020</v>
      </c>
    </row>
    <row r="599" spans="1:7" x14ac:dyDescent="0.35">
      <c r="A599">
        <v>5250</v>
      </c>
      <c r="B599" t="str">
        <f>IF(F599=2020,INDEX(SOC2020_Structure!E:E,MATCH(sectorLookup!A599,SOC2020_Structure!D:D,0)),INDEX(SOC2010_Structure!E:E,MATCH(sectorLookup!A599,SOC2010_Structure!D:D,0)))</f>
        <v>Skilled metal, electrical and electronic trades supervisors</v>
      </c>
      <c r="C599" t="s">
        <v>683</v>
      </c>
      <c r="D599" t="str">
        <f>INDEX('group info'!B:B,MATCH(sectorLookup!C599,'group info'!A:A,0))</f>
        <v>STEM</v>
      </c>
      <c r="E599" t="s">
        <v>322</v>
      </c>
      <c r="F599">
        <v>2020</v>
      </c>
      <c r="G599" t="str">
        <f t="shared" si="9"/>
        <v>STEM SOC2020</v>
      </c>
    </row>
    <row r="600" spans="1:7" x14ac:dyDescent="0.35">
      <c r="A600">
        <v>5311</v>
      </c>
      <c r="B600" t="str">
        <f>IF(F600=2020,INDEX(SOC2020_Structure!E:E,MATCH(sectorLookup!A600,SOC2020_Structure!D:D,0)),INDEX(SOC2010_Structure!E:E,MATCH(sectorLookup!A600,SOC2010_Structure!D:D,0)))</f>
        <v>Steel erectors</v>
      </c>
      <c r="C600" t="s">
        <v>683</v>
      </c>
      <c r="D600" t="str">
        <f>INDEX('group info'!B:B,MATCH(sectorLookup!C600,'group info'!A:A,0))</f>
        <v>STEM</v>
      </c>
      <c r="E600" t="s">
        <v>322</v>
      </c>
      <c r="F600">
        <v>2020</v>
      </c>
      <c r="G600" t="str">
        <f t="shared" si="9"/>
        <v>STEM SOC2020</v>
      </c>
    </row>
    <row r="601" spans="1:7" x14ac:dyDescent="0.35">
      <c r="A601">
        <v>5312</v>
      </c>
      <c r="B601" t="str">
        <f>IF(F601=2020,INDEX(SOC2020_Structure!E:E,MATCH(sectorLookup!A601,SOC2020_Structure!D:D,0)),INDEX(SOC2010_Structure!E:E,MATCH(sectorLookup!A601,SOC2010_Structure!D:D,0)))</f>
        <v>Stonemasons and related trades</v>
      </c>
      <c r="C601" t="s">
        <v>683</v>
      </c>
      <c r="D601" t="str">
        <f>INDEX('group info'!B:B,MATCH(sectorLookup!C601,'group info'!A:A,0))</f>
        <v>STEM</v>
      </c>
      <c r="E601" t="s">
        <v>322</v>
      </c>
      <c r="F601">
        <v>2020</v>
      </c>
      <c r="G601" t="str">
        <f t="shared" si="9"/>
        <v>STEM SOC2020</v>
      </c>
    </row>
    <row r="602" spans="1:7" x14ac:dyDescent="0.35">
      <c r="A602">
        <v>5313</v>
      </c>
      <c r="B602" t="str">
        <f>IF(F602=2020,INDEX(SOC2020_Structure!E:E,MATCH(sectorLookup!A602,SOC2020_Structure!D:D,0)),INDEX(SOC2010_Structure!E:E,MATCH(sectorLookup!A602,SOC2010_Structure!D:D,0)))</f>
        <v>Bricklayers</v>
      </c>
      <c r="C602" t="s">
        <v>683</v>
      </c>
      <c r="D602" t="str">
        <f>INDEX('group info'!B:B,MATCH(sectorLookup!C602,'group info'!A:A,0))</f>
        <v>STEM</v>
      </c>
      <c r="E602" t="s">
        <v>322</v>
      </c>
      <c r="F602">
        <v>2020</v>
      </c>
      <c r="G602" t="str">
        <f t="shared" si="9"/>
        <v>STEM SOC2020</v>
      </c>
    </row>
    <row r="603" spans="1:7" x14ac:dyDescent="0.35">
      <c r="A603">
        <v>5314</v>
      </c>
      <c r="B603" t="str">
        <f>IF(F603=2020,INDEX(SOC2020_Structure!E:E,MATCH(sectorLookup!A603,SOC2020_Structure!D:D,0)),INDEX(SOC2010_Structure!E:E,MATCH(sectorLookup!A603,SOC2010_Structure!D:D,0)))</f>
        <v>Roofers, roof tilers and slaters</v>
      </c>
      <c r="C603" t="s">
        <v>683</v>
      </c>
      <c r="D603" t="str">
        <f>INDEX('group info'!B:B,MATCH(sectorLookup!C603,'group info'!A:A,0))</f>
        <v>STEM</v>
      </c>
      <c r="E603" t="s">
        <v>322</v>
      </c>
      <c r="F603">
        <v>2020</v>
      </c>
      <c r="G603" t="str">
        <f t="shared" si="9"/>
        <v>STEM SOC2020</v>
      </c>
    </row>
    <row r="604" spans="1:7" x14ac:dyDescent="0.35">
      <c r="A604">
        <v>5315</v>
      </c>
      <c r="B604" t="str">
        <f>IF(F604=2020,INDEX(SOC2020_Structure!E:E,MATCH(sectorLookup!A604,SOC2020_Structure!D:D,0)),INDEX(SOC2010_Structure!E:E,MATCH(sectorLookup!A604,SOC2010_Structure!D:D,0)))</f>
        <v>Plumbers and heating and ventilating installers and repairers</v>
      </c>
      <c r="C604" t="s">
        <v>683</v>
      </c>
      <c r="D604" t="str">
        <f>INDEX('group info'!B:B,MATCH(sectorLookup!C604,'group info'!A:A,0))</f>
        <v>STEM</v>
      </c>
      <c r="E604" t="s">
        <v>322</v>
      </c>
      <c r="F604">
        <v>2020</v>
      </c>
      <c r="G604" t="str">
        <f t="shared" si="9"/>
        <v>STEM SOC2020</v>
      </c>
    </row>
    <row r="605" spans="1:7" x14ac:dyDescent="0.35">
      <c r="A605">
        <v>5316</v>
      </c>
      <c r="B605" t="str">
        <f>IF(F605=2020,INDEX(SOC2020_Structure!E:E,MATCH(sectorLookup!A605,SOC2020_Structure!D:D,0)),INDEX(SOC2010_Structure!E:E,MATCH(sectorLookup!A605,SOC2010_Structure!D:D,0)))</f>
        <v>Carpenters and joiners</v>
      </c>
      <c r="C605" t="s">
        <v>683</v>
      </c>
      <c r="D605" t="str">
        <f>INDEX('group info'!B:B,MATCH(sectorLookup!C605,'group info'!A:A,0))</f>
        <v>STEM</v>
      </c>
      <c r="E605" t="s">
        <v>322</v>
      </c>
      <c r="F605">
        <v>2020</v>
      </c>
      <c r="G605" t="str">
        <f t="shared" si="9"/>
        <v>STEM SOC2020</v>
      </c>
    </row>
    <row r="606" spans="1:7" x14ac:dyDescent="0.35">
      <c r="A606">
        <v>5317</v>
      </c>
      <c r="B606" t="str">
        <f>IF(F606=2020,INDEX(SOC2020_Structure!E:E,MATCH(sectorLookup!A606,SOC2020_Structure!D:D,0)),INDEX(SOC2010_Structure!E:E,MATCH(sectorLookup!A606,SOC2010_Structure!D:D,0)))</f>
        <v>Glaziers, window fabricators and fitters</v>
      </c>
      <c r="C606" t="s">
        <v>683</v>
      </c>
      <c r="D606" t="str">
        <f>INDEX('group info'!B:B,MATCH(sectorLookup!C606,'group info'!A:A,0))</f>
        <v>STEM</v>
      </c>
      <c r="E606" t="s">
        <v>322</v>
      </c>
      <c r="F606">
        <v>2020</v>
      </c>
      <c r="G606" t="str">
        <f t="shared" si="9"/>
        <v>STEM SOC2020</v>
      </c>
    </row>
    <row r="607" spans="1:7" x14ac:dyDescent="0.35">
      <c r="A607">
        <v>5319</v>
      </c>
      <c r="B607" t="str">
        <f>IF(F607=2020,INDEX(SOC2020_Structure!E:E,MATCH(sectorLookup!A607,SOC2020_Structure!D:D,0)),INDEX(SOC2010_Structure!E:E,MATCH(sectorLookup!A607,SOC2010_Structure!D:D,0)))</f>
        <v>Construction and building trades n.e.c.</v>
      </c>
      <c r="C607" t="s">
        <v>683</v>
      </c>
      <c r="D607" t="str">
        <f>INDEX('group info'!B:B,MATCH(sectorLookup!C607,'group info'!A:A,0))</f>
        <v>STEM</v>
      </c>
      <c r="E607" t="s">
        <v>322</v>
      </c>
      <c r="F607">
        <v>2020</v>
      </c>
      <c r="G607" t="str">
        <f t="shared" si="9"/>
        <v>STEM SOC2020</v>
      </c>
    </row>
    <row r="608" spans="1:7" x14ac:dyDescent="0.35">
      <c r="A608">
        <v>5330</v>
      </c>
      <c r="B608" t="str">
        <f>IF(F608=2020,INDEX(SOC2020_Structure!E:E,MATCH(sectorLookup!A608,SOC2020_Structure!D:D,0)),INDEX(SOC2010_Structure!E:E,MATCH(sectorLookup!A608,SOC2010_Structure!D:D,0)))</f>
        <v>Construction and building trades supervisors</v>
      </c>
      <c r="C608" t="s">
        <v>683</v>
      </c>
      <c r="D608" t="str">
        <f>INDEX('group info'!B:B,MATCH(sectorLookup!C608,'group info'!A:A,0))</f>
        <v>STEM</v>
      </c>
      <c r="E608" t="s">
        <v>322</v>
      </c>
      <c r="F608">
        <v>2020</v>
      </c>
      <c r="G608" t="str">
        <f t="shared" si="9"/>
        <v>STEM SOC2020</v>
      </c>
    </row>
    <row r="609" spans="1:7" x14ac:dyDescent="0.35">
      <c r="A609">
        <v>5421</v>
      </c>
      <c r="B609" t="str">
        <f>IF(F609=2020,INDEX(SOC2020_Structure!E:E,MATCH(sectorLookup!A609,SOC2020_Structure!D:D,0)),INDEX(SOC2010_Structure!E:E,MATCH(sectorLookup!A609,SOC2010_Structure!D:D,0)))</f>
        <v>Pre-press technicians</v>
      </c>
      <c r="C609" t="s">
        <v>683</v>
      </c>
      <c r="D609" t="str">
        <f>INDEX('group info'!B:B,MATCH(sectorLookup!C609,'group info'!A:A,0))</f>
        <v>STEM</v>
      </c>
      <c r="E609" t="s">
        <v>322</v>
      </c>
      <c r="F609">
        <v>2020</v>
      </c>
      <c r="G609" t="str">
        <f t="shared" si="9"/>
        <v>STEM SOC2020</v>
      </c>
    </row>
    <row r="610" spans="1:7" x14ac:dyDescent="0.35">
      <c r="A610">
        <v>5422</v>
      </c>
      <c r="B610" t="str">
        <f>IF(F610=2020,INDEX(SOC2020_Structure!E:E,MATCH(sectorLookup!A610,SOC2020_Structure!D:D,0)),INDEX(SOC2010_Structure!E:E,MATCH(sectorLookup!A610,SOC2010_Structure!D:D,0)))</f>
        <v>Printers</v>
      </c>
      <c r="C610" t="s">
        <v>683</v>
      </c>
      <c r="D610" t="str">
        <f>INDEX('group info'!B:B,MATCH(sectorLookup!C610,'group info'!A:A,0))</f>
        <v>STEM</v>
      </c>
      <c r="E610" t="s">
        <v>322</v>
      </c>
      <c r="F610">
        <v>2020</v>
      </c>
      <c r="G610" t="str">
        <f t="shared" si="9"/>
        <v>STEM SOC2020</v>
      </c>
    </row>
    <row r="611" spans="1:7" x14ac:dyDescent="0.35">
      <c r="A611">
        <v>8113</v>
      </c>
      <c r="B611" t="str">
        <f>IF(F611=2020,INDEX(SOC2020_Structure!E:E,MATCH(sectorLookup!A611,SOC2020_Structure!D:D,0)),INDEX(SOC2010_Structure!E:E,MATCH(sectorLookup!A611,SOC2010_Structure!D:D,0)))</f>
        <v>Chemical and related process operatives</v>
      </c>
      <c r="C611" t="s">
        <v>683</v>
      </c>
      <c r="D611" t="str">
        <f>INDEX('group info'!B:B,MATCH(sectorLookup!C611,'group info'!A:A,0))</f>
        <v>STEM</v>
      </c>
      <c r="E611" t="s">
        <v>322</v>
      </c>
      <c r="F611">
        <v>2020</v>
      </c>
      <c r="G611" t="str">
        <f t="shared" si="9"/>
        <v>STEM SOC2020</v>
      </c>
    </row>
    <row r="612" spans="1:7" x14ac:dyDescent="0.35">
      <c r="A612">
        <v>8114</v>
      </c>
      <c r="B612" t="str">
        <f>IF(F612=2020,INDEX(SOC2020_Structure!E:E,MATCH(sectorLookup!A612,SOC2020_Structure!D:D,0)),INDEX(SOC2010_Structure!E:E,MATCH(sectorLookup!A612,SOC2010_Structure!D:D,0)))</f>
        <v>Plastics process operatives</v>
      </c>
      <c r="C612" t="s">
        <v>683</v>
      </c>
      <c r="D612" t="str">
        <f>INDEX('group info'!B:B,MATCH(sectorLookup!C612,'group info'!A:A,0))</f>
        <v>STEM</v>
      </c>
      <c r="E612" t="s">
        <v>322</v>
      </c>
      <c r="F612">
        <v>2020</v>
      </c>
      <c r="G612" t="str">
        <f t="shared" si="9"/>
        <v>STEM SOC2020</v>
      </c>
    </row>
    <row r="613" spans="1:7" x14ac:dyDescent="0.35">
      <c r="A613">
        <v>8115</v>
      </c>
      <c r="B613" t="str">
        <f>IF(F613=2020,INDEX(SOC2020_Structure!E:E,MATCH(sectorLookup!A613,SOC2020_Structure!D:D,0)),INDEX(SOC2010_Structure!E:E,MATCH(sectorLookup!A613,SOC2010_Structure!D:D,0)))</f>
        <v>Metal making and treating process operatives</v>
      </c>
      <c r="C613" t="s">
        <v>683</v>
      </c>
      <c r="D613" t="str">
        <f>INDEX('group info'!B:B,MATCH(sectorLookup!C613,'group info'!A:A,0))</f>
        <v>STEM</v>
      </c>
      <c r="E613" t="s">
        <v>322</v>
      </c>
      <c r="F613">
        <v>2020</v>
      </c>
      <c r="G613" t="str">
        <f t="shared" si="9"/>
        <v>STEM SOC2020</v>
      </c>
    </row>
    <row r="614" spans="1:7" x14ac:dyDescent="0.35">
      <c r="A614">
        <v>8119</v>
      </c>
      <c r="B614" t="str">
        <f>IF(F614=2020,INDEX(SOC2020_Structure!E:E,MATCH(sectorLookup!A614,SOC2020_Structure!D:D,0)),INDEX(SOC2010_Structure!E:E,MATCH(sectorLookup!A614,SOC2010_Structure!D:D,0)))</f>
        <v>Process operatives n.e.c.</v>
      </c>
      <c r="C614" t="s">
        <v>683</v>
      </c>
      <c r="D614" t="str">
        <f>INDEX('group info'!B:B,MATCH(sectorLookup!C614,'group info'!A:A,0))</f>
        <v>STEM</v>
      </c>
      <c r="E614" t="s">
        <v>322</v>
      </c>
      <c r="F614">
        <v>2020</v>
      </c>
      <c r="G614" t="str">
        <f t="shared" si="9"/>
        <v>STEM SOC2020</v>
      </c>
    </row>
    <row r="615" spans="1:7" x14ac:dyDescent="0.35">
      <c r="A615">
        <v>8120</v>
      </c>
      <c r="B615" t="str">
        <f>IF(F615=2020,INDEX(SOC2020_Structure!E:E,MATCH(sectorLookup!A615,SOC2020_Structure!D:D,0)),INDEX(SOC2010_Structure!E:E,MATCH(sectorLookup!A615,SOC2010_Structure!D:D,0)))</f>
        <v>Metal working machine operatives</v>
      </c>
      <c r="C615" t="s">
        <v>683</v>
      </c>
      <c r="D615" t="str">
        <f>INDEX('group info'!B:B,MATCH(sectorLookup!C615,'group info'!A:A,0))</f>
        <v>STEM</v>
      </c>
      <c r="E615" t="s">
        <v>322</v>
      </c>
      <c r="F615">
        <v>2020</v>
      </c>
      <c r="G615" t="str">
        <f t="shared" si="9"/>
        <v>STEM SOC2020</v>
      </c>
    </row>
    <row r="616" spans="1:7" x14ac:dyDescent="0.35">
      <c r="A616">
        <v>8131</v>
      </c>
      <c r="B616" t="str">
        <f>IF(F616=2020,INDEX(SOC2020_Structure!E:E,MATCH(sectorLookup!A616,SOC2020_Structure!D:D,0)),INDEX(SOC2010_Structure!E:E,MATCH(sectorLookup!A616,SOC2010_Structure!D:D,0)))</f>
        <v>Paper and wood machine operatives</v>
      </c>
      <c r="C616" t="s">
        <v>683</v>
      </c>
      <c r="D616" t="str">
        <f>INDEX('group info'!B:B,MATCH(sectorLookup!C616,'group info'!A:A,0))</f>
        <v>STEM</v>
      </c>
      <c r="E616" t="s">
        <v>322</v>
      </c>
      <c r="F616">
        <v>2020</v>
      </c>
      <c r="G616" t="str">
        <f t="shared" si="9"/>
        <v>STEM SOC2020</v>
      </c>
    </row>
    <row r="617" spans="1:7" x14ac:dyDescent="0.35">
      <c r="A617">
        <v>8132</v>
      </c>
      <c r="B617" t="str">
        <f>IF(F617=2020,INDEX(SOC2020_Structure!E:E,MATCH(sectorLookup!A617,SOC2020_Structure!D:D,0)),INDEX(SOC2010_Structure!E:E,MATCH(sectorLookup!A617,SOC2010_Structure!D:D,0)))</f>
        <v>Mining and quarry workers and related operatives</v>
      </c>
      <c r="C617" t="s">
        <v>683</v>
      </c>
      <c r="D617" t="str">
        <f>INDEX('group info'!B:B,MATCH(sectorLookup!C617,'group info'!A:A,0))</f>
        <v>STEM</v>
      </c>
      <c r="E617" t="s">
        <v>322</v>
      </c>
      <c r="F617">
        <v>2020</v>
      </c>
      <c r="G617" t="str">
        <f t="shared" si="9"/>
        <v>STEM SOC2020</v>
      </c>
    </row>
    <row r="618" spans="1:7" x14ac:dyDescent="0.35">
      <c r="A618">
        <v>8133</v>
      </c>
      <c r="B618" t="str">
        <f>IF(F618=2020,INDEX(SOC2020_Structure!E:E,MATCH(sectorLookup!A618,SOC2020_Structure!D:D,0)),INDEX(SOC2010_Structure!E:E,MATCH(sectorLookup!A618,SOC2010_Structure!D:D,0)))</f>
        <v>Energy plant operatives</v>
      </c>
      <c r="C618" t="s">
        <v>683</v>
      </c>
      <c r="D618" t="str">
        <f>INDEX('group info'!B:B,MATCH(sectorLookup!C618,'group info'!A:A,0))</f>
        <v>STEM</v>
      </c>
      <c r="E618" t="s">
        <v>322</v>
      </c>
      <c r="F618">
        <v>2020</v>
      </c>
      <c r="G618" t="str">
        <f t="shared" si="9"/>
        <v>STEM SOC2020</v>
      </c>
    </row>
    <row r="619" spans="1:7" x14ac:dyDescent="0.35">
      <c r="A619">
        <v>8134</v>
      </c>
      <c r="B619" t="str">
        <f>IF(F619=2020,INDEX(SOC2020_Structure!E:E,MATCH(sectorLookup!A619,SOC2020_Structure!D:D,0)),INDEX(SOC2010_Structure!E:E,MATCH(sectorLookup!A619,SOC2010_Structure!D:D,0)))</f>
        <v>Water and sewerage plant operatives</v>
      </c>
      <c r="C619" t="s">
        <v>683</v>
      </c>
      <c r="D619" t="str">
        <f>INDEX('group info'!B:B,MATCH(sectorLookup!C619,'group info'!A:A,0))</f>
        <v>STEM</v>
      </c>
      <c r="E619" t="s">
        <v>322</v>
      </c>
      <c r="F619">
        <v>2020</v>
      </c>
      <c r="G619" t="str">
        <f t="shared" si="9"/>
        <v>STEM SOC2020</v>
      </c>
    </row>
    <row r="620" spans="1:7" x14ac:dyDescent="0.35">
      <c r="A620">
        <v>8139</v>
      </c>
      <c r="B620" t="str">
        <f>IF(F620=2020,INDEX(SOC2020_Structure!E:E,MATCH(sectorLookup!A620,SOC2020_Structure!D:D,0)),INDEX(SOC2010_Structure!E:E,MATCH(sectorLookup!A620,SOC2010_Structure!D:D,0)))</f>
        <v>Plant and machine operatives n.e.c.</v>
      </c>
      <c r="C620" t="s">
        <v>683</v>
      </c>
      <c r="D620" t="str">
        <f>INDEX('group info'!B:B,MATCH(sectorLookup!C620,'group info'!A:A,0))</f>
        <v>STEM</v>
      </c>
      <c r="E620" t="s">
        <v>322</v>
      </c>
      <c r="F620">
        <v>2020</v>
      </c>
      <c r="G620" t="str">
        <f t="shared" si="9"/>
        <v>STEM SOC2020</v>
      </c>
    </row>
    <row r="621" spans="1:7" x14ac:dyDescent="0.35">
      <c r="A621">
        <v>8141</v>
      </c>
      <c r="B621" t="str">
        <f>IF(F621=2020,INDEX(SOC2020_Structure!E:E,MATCH(sectorLookup!A621,SOC2020_Structure!D:D,0)),INDEX(SOC2010_Structure!E:E,MATCH(sectorLookup!A621,SOC2010_Structure!D:D,0)))</f>
        <v>Assemblers (electrical and electronic products)</v>
      </c>
      <c r="C621" t="s">
        <v>683</v>
      </c>
      <c r="D621" t="str">
        <f>INDEX('group info'!B:B,MATCH(sectorLookup!C621,'group info'!A:A,0))</f>
        <v>STEM</v>
      </c>
      <c r="E621" t="s">
        <v>322</v>
      </c>
      <c r="F621">
        <v>2020</v>
      </c>
      <c r="G621" t="str">
        <f t="shared" si="9"/>
        <v>STEM SOC2020</v>
      </c>
    </row>
    <row r="622" spans="1:7" x14ac:dyDescent="0.35">
      <c r="A622">
        <v>8142</v>
      </c>
      <c r="B622" t="str">
        <f>IF(F622=2020,INDEX(SOC2020_Structure!E:E,MATCH(sectorLookup!A622,SOC2020_Structure!D:D,0)),INDEX(SOC2010_Structure!E:E,MATCH(sectorLookup!A622,SOC2010_Structure!D:D,0)))</f>
        <v>Assemblers (vehicles and metal goods)</v>
      </c>
      <c r="C622" t="s">
        <v>683</v>
      </c>
      <c r="D622" t="str">
        <f>INDEX('group info'!B:B,MATCH(sectorLookup!C622,'group info'!A:A,0))</f>
        <v>STEM</v>
      </c>
      <c r="E622" t="s">
        <v>322</v>
      </c>
      <c r="F622">
        <v>2020</v>
      </c>
      <c r="G622" t="str">
        <f t="shared" si="9"/>
        <v>STEM SOC2020</v>
      </c>
    </row>
    <row r="623" spans="1:7" x14ac:dyDescent="0.35">
      <c r="A623">
        <v>8143</v>
      </c>
      <c r="B623" t="str">
        <f>IF(F623=2020,INDEX(SOC2020_Structure!E:E,MATCH(sectorLookup!A623,SOC2020_Structure!D:D,0)),INDEX(SOC2010_Structure!E:E,MATCH(sectorLookup!A623,SOC2010_Structure!D:D,0)))</f>
        <v>Routine inspectors and testers</v>
      </c>
      <c r="C623" t="s">
        <v>683</v>
      </c>
      <c r="D623" t="str">
        <f>INDEX('group info'!B:B,MATCH(sectorLookup!C623,'group info'!A:A,0))</f>
        <v>STEM</v>
      </c>
      <c r="E623" t="s">
        <v>322</v>
      </c>
      <c r="F623">
        <v>2020</v>
      </c>
      <c r="G623" t="str">
        <f t="shared" si="9"/>
        <v>STEM SOC2020</v>
      </c>
    </row>
    <row r="624" spans="1:7" x14ac:dyDescent="0.35">
      <c r="A624">
        <v>8145</v>
      </c>
      <c r="B624" t="str">
        <f>IF(F624=2020,INDEX(SOC2020_Structure!E:E,MATCH(sectorLookup!A624,SOC2020_Structure!D:D,0)),INDEX(SOC2010_Structure!E:E,MATCH(sectorLookup!A624,SOC2010_Structure!D:D,0)))</f>
        <v>Tyre, exhaust and windscreen fitters</v>
      </c>
      <c r="C624" t="s">
        <v>683</v>
      </c>
      <c r="D624" t="str">
        <f>INDEX('group info'!B:B,MATCH(sectorLookup!C624,'group info'!A:A,0))</f>
        <v>STEM</v>
      </c>
      <c r="E624" t="s">
        <v>322</v>
      </c>
      <c r="F624">
        <v>2020</v>
      </c>
      <c r="G624" t="str">
        <f t="shared" si="9"/>
        <v>STEM SOC2020</v>
      </c>
    </row>
    <row r="625" spans="1:7" x14ac:dyDescent="0.35">
      <c r="A625">
        <v>8151</v>
      </c>
      <c r="B625" t="str">
        <f>IF(F625=2020,INDEX(SOC2020_Structure!E:E,MATCH(sectorLookup!A625,SOC2020_Structure!D:D,0)),INDEX(SOC2010_Structure!E:E,MATCH(sectorLookup!A625,SOC2010_Structure!D:D,0)))</f>
        <v>Scaffolders, stagers and riggers</v>
      </c>
      <c r="C625" t="s">
        <v>683</v>
      </c>
      <c r="D625" t="str">
        <f>INDEX('group info'!B:B,MATCH(sectorLookup!C625,'group info'!A:A,0))</f>
        <v>STEM</v>
      </c>
      <c r="E625" t="s">
        <v>322</v>
      </c>
      <c r="F625">
        <v>2020</v>
      </c>
      <c r="G625" t="str">
        <f t="shared" si="9"/>
        <v>STEM SOC2020</v>
      </c>
    </row>
    <row r="626" spans="1:7" x14ac:dyDescent="0.35">
      <c r="A626">
        <v>8152</v>
      </c>
      <c r="B626" t="str">
        <f>IF(F626=2020,INDEX(SOC2020_Structure!E:E,MATCH(sectorLookup!A626,SOC2020_Structure!D:D,0)),INDEX(SOC2010_Structure!E:E,MATCH(sectorLookup!A626,SOC2010_Structure!D:D,0)))</f>
        <v>Road construction operatives</v>
      </c>
      <c r="C626" t="s">
        <v>683</v>
      </c>
      <c r="D626" t="str">
        <f>INDEX('group info'!B:B,MATCH(sectorLookup!C626,'group info'!A:A,0))</f>
        <v>STEM</v>
      </c>
      <c r="E626" t="s">
        <v>322</v>
      </c>
      <c r="F626">
        <v>2020</v>
      </c>
      <c r="G626" t="str">
        <f t="shared" si="9"/>
        <v>STEM SOC2020</v>
      </c>
    </row>
    <row r="627" spans="1:7" x14ac:dyDescent="0.35">
      <c r="A627">
        <v>8153</v>
      </c>
      <c r="B627" t="str">
        <f>IF(F627=2020,INDEX(SOC2020_Structure!E:E,MATCH(sectorLookup!A627,SOC2020_Structure!D:D,0)),INDEX(SOC2010_Structure!E:E,MATCH(sectorLookup!A627,SOC2010_Structure!D:D,0)))</f>
        <v>Rail construction and maintenance operatives</v>
      </c>
      <c r="C627" t="s">
        <v>683</v>
      </c>
      <c r="D627" t="str">
        <f>INDEX('group info'!B:B,MATCH(sectorLookup!C627,'group info'!A:A,0))</f>
        <v>STEM</v>
      </c>
      <c r="E627" t="s">
        <v>322</v>
      </c>
      <c r="F627">
        <v>2020</v>
      </c>
      <c r="G627" t="str">
        <f t="shared" si="9"/>
        <v>STEM SOC2020</v>
      </c>
    </row>
    <row r="628" spans="1:7" x14ac:dyDescent="0.35">
      <c r="A628">
        <v>8159</v>
      </c>
      <c r="B628" t="str">
        <f>IF(F628=2020,INDEX(SOC2020_Structure!E:E,MATCH(sectorLookup!A628,SOC2020_Structure!D:D,0)),INDEX(SOC2010_Structure!E:E,MATCH(sectorLookup!A628,SOC2010_Structure!D:D,0)))</f>
        <v>Construction operatives n.e.c.</v>
      </c>
      <c r="C628" t="s">
        <v>683</v>
      </c>
      <c r="D628" t="str">
        <f>INDEX('group info'!B:B,MATCH(sectorLookup!C628,'group info'!A:A,0))</f>
        <v>STEM</v>
      </c>
      <c r="E628" t="s">
        <v>322</v>
      </c>
      <c r="F628">
        <v>2020</v>
      </c>
      <c r="G628" t="str">
        <f t="shared" si="9"/>
        <v>STEM SOC2020</v>
      </c>
    </row>
    <row r="629" spans="1:7" x14ac:dyDescent="0.35">
      <c r="A629">
        <v>8160</v>
      </c>
      <c r="B629" t="str">
        <f>IF(F629=2020,INDEX(SOC2020_Structure!E:E,MATCH(sectorLookup!A629,SOC2020_Structure!D:D,0)),INDEX(SOC2010_Structure!E:E,MATCH(sectorLookup!A629,SOC2010_Structure!D:D,0)))</f>
        <v>Production, factory and assembly supervisors</v>
      </c>
      <c r="C629" t="s">
        <v>683</v>
      </c>
      <c r="D629" t="str">
        <f>INDEX('group info'!B:B,MATCH(sectorLookup!C629,'group info'!A:A,0))</f>
        <v>STEM</v>
      </c>
      <c r="E629" t="s">
        <v>322</v>
      </c>
      <c r="F629">
        <v>2020</v>
      </c>
      <c r="G629" t="str">
        <f t="shared" si="9"/>
        <v>STEM SOC2020</v>
      </c>
    </row>
    <row r="630" spans="1:7" x14ac:dyDescent="0.35">
      <c r="A630">
        <v>8221</v>
      </c>
      <c r="B630" t="str">
        <f>IF(F630=2020,INDEX(SOC2020_Structure!E:E,MATCH(sectorLookup!A630,SOC2020_Structure!D:D,0)),INDEX(SOC2010_Structure!E:E,MATCH(sectorLookup!A630,SOC2010_Structure!D:D,0)))</f>
        <v>Crane drivers</v>
      </c>
      <c r="C630" t="s">
        <v>683</v>
      </c>
      <c r="D630" t="str">
        <f>INDEX('group info'!B:B,MATCH(sectorLookup!C630,'group info'!A:A,0))</f>
        <v>STEM</v>
      </c>
      <c r="E630" t="s">
        <v>322</v>
      </c>
      <c r="F630">
        <v>2020</v>
      </c>
      <c r="G630" t="str">
        <f t="shared" si="9"/>
        <v>STEM SOC2020</v>
      </c>
    </row>
    <row r="631" spans="1:7" x14ac:dyDescent="0.35">
      <c r="A631">
        <v>8232</v>
      </c>
      <c r="B631" t="str">
        <f>IF(F631=2020,INDEX(SOC2020_Structure!E:E,MATCH(sectorLookup!A631,SOC2020_Structure!D:D,0)),INDEX(SOC2010_Structure!E:E,MATCH(sectorLookup!A631,SOC2010_Structure!D:D,0)))</f>
        <v>Marine and waterways transport operatives</v>
      </c>
      <c r="C631" t="s">
        <v>683</v>
      </c>
      <c r="D631" t="str">
        <f>INDEX('group info'!B:B,MATCH(sectorLookup!C631,'group info'!A:A,0))</f>
        <v>STEM</v>
      </c>
      <c r="E631" t="s">
        <v>322</v>
      </c>
      <c r="F631">
        <v>2020</v>
      </c>
      <c r="G631" t="str">
        <f t="shared" si="9"/>
        <v>STEM SOC2020</v>
      </c>
    </row>
    <row r="632" spans="1:7" x14ac:dyDescent="0.35">
      <c r="A632">
        <v>1121</v>
      </c>
      <c r="B632" t="str">
        <f>IF(F632=2020,INDEX(SOC2020_Structure!E:E,MATCH(sectorLookup!A632,SOC2020_Structure!D:D,0)),INDEX(SOC2010_Structure!E:E,MATCH(sectorLookup!A632,SOC2010_Structure!D:D,0)))</f>
        <v>Production managers and directors in manufacturing</v>
      </c>
      <c r="C632" t="s">
        <v>684</v>
      </c>
      <c r="D632" t="str">
        <f>INDEX('group info'!B:B,MATCH(sectorLookup!C632,'group info'!A:A,0))</f>
        <v>STEM plus medicine and health and other</v>
      </c>
      <c r="E632" t="s">
        <v>322</v>
      </c>
      <c r="F632">
        <v>2010</v>
      </c>
      <c r="G632" t="str">
        <f t="shared" si="9"/>
        <v>STEM plus medicine and health and other SOC2010</v>
      </c>
    </row>
    <row r="633" spans="1:7" x14ac:dyDescent="0.35">
      <c r="A633">
        <v>1122</v>
      </c>
      <c r="B633" t="str">
        <f>IF(F633=2020,INDEX(SOC2020_Structure!E:E,MATCH(sectorLookup!A633,SOC2020_Structure!D:D,0)),INDEX(SOC2010_Structure!E:E,MATCH(sectorLookup!A633,SOC2010_Structure!D:D,0)))</f>
        <v>Production managers and directors in construction</v>
      </c>
      <c r="C633" t="s">
        <v>684</v>
      </c>
      <c r="D633" t="str">
        <f>INDEX('group info'!B:B,MATCH(sectorLookup!C633,'group info'!A:A,0))</f>
        <v>STEM plus medicine and health and other</v>
      </c>
      <c r="E633" t="s">
        <v>322</v>
      </c>
      <c r="F633">
        <v>2010</v>
      </c>
      <c r="G633" t="str">
        <f t="shared" si="9"/>
        <v>STEM plus medicine and health and other SOC2010</v>
      </c>
    </row>
    <row r="634" spans="1:7" x14ac:dyDescent="0.35">
      <c r="A634">
        <v>1123</v>
      </c>
      <c r="B634" t="str">
        <f>IF(F634=2020,INDEX(SOC2020_Structure!E:E,MATCH(sectorLookup!A634,SOC2020_Structure!D:D,0)),INDEX(SOC2010_Structure!E:E,MATCH(sectorLookup!A634,SOC2010_Structure!D:D,0)))</f>
        <v>Production managers and directors in mining and energy</v>
      </c>
      <c r="C634" t="s">
        <v>684</v>
      </c>
      <c r="D634" t="str">
        <f>INDEX('group info'!B:B,MATCH(sectorLookup!C634,'group info'!A:A,0))</f>
        <v>STEM plus medicine and health and other</v>
      </c>
      <c r="E634" t="s">
        <v>322</v>
      </c>
      <c r="F634">
        <v>2010</v>
      </c>
      <c r="G634" t="str">
        <f t="shared" si="9"/>
        <v>STEM plus medicine and health and other SOC2010</v>
      </c>
    </row>
    <row r="635" spans="1:7" x14ac:dyDescent="0.35">
      <c r="A635">
        <v>1136</v>
      </c>
      <c r="B635" t="str">
        <f>IF(F635=2020,INDEX(SOC2020_Structure!E:E,MATCH(sectorLookup!A635,SOC2020_Structure!D:D,0)),INDEX(SOC2010_Structure!E:E,MATCH(sectorLookup!A635,SOC2010_Structure!D:D,0)))</f>
        <v>Information technology and telecommunications directors</v>
      </c>
      <c r="C635" t="s">
        <v>684</v>
      </c>
      <c r="D635" t="str">
        <f>INDEX('group info'!B:B,MATCH(sectorLookup!C635,'group info'!A:A,0))</f>
        <v>STEM plus medicine and health and other</v>
      </c>
      <c r="E635" t="s">
        <v>322</v>
      </c>
      <c r="F635">
        <v>2010</v>
      </c>
      <c r="G635" t="str">
        <f t="shared" si="9"/>
        <v>STEM plus medicine and health and other SOC2010</v>
      </c>
    </row>
    <row r="636" spans="1:7" x14ac:dyDescent="0.35">
      <c r="A636">
        <v>1171</v>
      </c>
      <c r="B636" t="str">
        <f>IF(F636=2020,INDEX(SOC2020_Structure!E:E,MATCH(sectorLookup!A636,SOC2020_Structure!D:D,0)),INDEX(SOC2010_Structure!E:E,MATCH(sectorLookup!A636,SOC2010_Structure!D:D,0)))</f>
        <v>Officers in armed forces</v>
      </c>
      <c r="C636" t="s">
        <v>684</v>
      </c>
      <c r="D636" t="str">
        <f>INDEX('group info'!B:B,MATCH(sectorLookup!C636,'group info'!A:A,0))</f>
        <v>STEM plus medicine and health and other</v>
      </c>
      <c r="E636" t="s">
        <v>322</v>
      </c>
      <c r="F636">
        <v>2010</v>
      </c>
      <c r="G636" t="str">
        <f t="shared" si="9"/>
        <v>STEM plus medicine and health and other SOC2010</v>
      </c>
    </row>
    <row r="637" spans="1:7" x14ac:dyDescent="0.35">
      <c r="A637">
        <v>1181</v>
      </c>
      <c r="B637" t="str">
        <f>IF(F637=2020,INDEX(SOC2020_Structure!E:E,MATCH(sectorLookup!A637,SOC2020_Structure!D:D,0)),INDEX(SOC2010_Structure!E:E,MATCH(sectorLookup!A637,SOC2010_Structure!D:D,0)))</f>
        <v>Health services and public health managers and directors</v>
      </c>
      <c r="C637" t="s">
        <v>684</v>
      </c>
      <c r="D637" t="str">
        <f>INDEX('group info'!B:B,MATCH(sectorLookup!C637,'group info'!A:A,0))</f>
        <v>STEM plus medicine and health and other</v>
      </c>
      <c r="E637" t="s">
        <v>322</v>
      </c>
      <c r="F637">
        <v>2010</v>
      </c>
      <c r="G637" t="str">
        <f t="shared" si="9"/>
        <v>STEM plus medicine and health and other SOC2010</v>
      </c>
    </row>
    <row r="638" spans="1:7" x14ac:dyDescent="0.35">
      <c r="A638">
        <v>1211</v>
      </c>
      <c r="B638" t="str">
        <f>IF(F638=2020,INDEX(SOC2020_Structure!E:E,MATCH(sectorLookup!A638,SOC2020_Structure!D:D,0)),INDEX(SOC2010_Structure!E:E,MATCH(sectorLookup!A638,SOC2010_Structure!D:D,0)))</f>
        <v>Managers and proprietors in agriculture and horticulture</v>
      </c>
      <c r="C638" t="s">
        <v>684</v>
      </c>
      <c r="D638" t="str">
        <f>INDEX('group info'!B:B,MATCH(sectorLookup!C638,'group info'!A:A,0))</f>
        <v>STEM plus medicine and health and other</v>
      </c>
      <c r="E638" t="s">
        <v>322</v>
      </c>
      <c r="F638">
        <v>2010</v>
      </c>
      <c r="G638" t="str">
        <f t="shared" si="9"/>
        <v>STEM plus medicine and health and other SOC2010</v>
      </c>
    </row>
    <row r="639" spans="1:7" x14ac:dyDescent="0.35">
      <c r="A639">
        <v>1241</v>
      </c>
      <c r="B639" t="str">
        <f>IF(F639=2020,INDEX(SOC2020_Structure!E:E,MATCH(sectorLookup!A639,SOC2020_Structure!D:D,0)),INDEX(SOC2010_Structure!E:E,MATCH(sectorLookup!A639,SOC2010_Structure!D:D,0)))</f>
        <v>Health care practice managers</v>
      </c>
      <c r="C639" t="s">
        <v>684</v>
      </c>
      <c r="D639" t="str">
        <f>INDEX('group info'!B:B,MATCH(sectorLookup!C639,'group info'!A:A,0))</f>
        <v>STEM plus medicine and health and other</v>
      </c>
      <c r="E639" t="s">
        <v>322</v>
      </c>
      <c r="F639">
        <v>2010</v>
      </c>
      <c r="G639" t="str">
        <f t="shared" si="9"/>
        <v>STEM plus medicine and health and other SOC2010</v>
      </c>
    </row>
    <row r="640" spans="1:7" x14ac:dyDescent="0.35">
      <c r="A640">
        <v>1255</v>
      </c>
      <c r="B640" t="str">
        <f>IF(F640=2020,INDEX(SOC2020_Structure!E:E,MATCH(sectorLookup!A640,SOC2020_Structure!D:D,0)),INDEX(SOC2010_Structure!E:E,MATCH(sectorLookup!A640,SOC2010_Structure!D:D,0)))</f>
        <v>Waste disposal and environmental services managers</v>
      </c>
      <c r="C640" t="s">
        <v>684</v>
      </c>
      <c r="D640" t="str">
        <f>INDEX('group info'!B:B,MATCH(sectorLookup!C640,'group info'!A:A,0))</f>
        <v>STEM plus medicine and health and other</v>
      </c>
      <c r="E640" t="s">
        <v>322</v>
      </c>
      <c r="F640">
        <v>2010</v>
      </c>
      <c r="G640" t="str">
        <f t="shared" si="9"/>
        <v>STEM plus medicine and health and other SOC2010</v>
      </c>
    </row>
    <row r="641" spans="1:7" x14ac:dyDescent="0.35">
      <c r="A641">
        <v>2111</v>
      </c>
      <c r="B641" t="str">
        <f>IF(F641=2020,INDEX(SOC2020_Structure!E:E,MATCH(sectorLookup!A641,SOC2020_Structure!D:D,0)),INDEX(SOC2010_Structure!E:E,MATCH(sectorLookup!A641,SOC2010_Structure!D:D,0)))</f>
        <v>Chemical scientists</v>
      </c>
      <c r="C641" t="s">
        <v>684</v>
      </c>
      <c r="D641" t="str">
        <f>INDEX('group info'!B:B,MATCH(sectorLookup!C641,'group info'!A:A,0))</f>
        <v>STEM plus medicine and health and other</v>
      </c>
      <c r="E641" t="s">
        <v>322</v>
      </c>
      <c r="F641">
        <v>2010</v>
      </c>
      <c r="G641" t="str">
        <f t="shared" si="9"/>
        <v>STEM plus medicine and health and other SOC2010</v>
      </c>
    </row>
    <row r="642" spans="1:7" x14ac:dyDescent="0.35">
      <c r="A642">
        <v>2112</v>
      </c>
      <c r="B642" t="str">
        <f>IF(F642=2020,INDEX(SOC2020_Structure!E:E,MATCH(sectorLookup!A642,SOC2020_Structure!D:D,0)),INDEX(SOC2010_Structure!E:E,MATCH(sectorLookup!A642,SOC2010_Structure!D:D,0)))</f>
        <v>Biological scientists and biochemists</v>
      </c>
      <c r="C642" t="s">
        <v>684</v>
      </c>
      <c r="D642" t="str">
        <f>INDEX('group info'!B:B,MATCH(sectorLookup!C642,'group info'!A:A,0))</f>
        <v>STEM plus medicine and health and other</v>
      </c>
      <c r="E642" t="s">
        <v>322</v>
      </c>
      <c r="F642">
        <v>2010</v>
      </c>
      <c r="G642" t="str">
        <f t="shared" si="9"/>
        <v>STEM plus medicine and health and other SOC2010</v>
      </c>
    </row>
    <row r="643" spans="1:7" x14ac:dyDescent="0.35">
      <c r="A643">
        <v>2113</v>
      </c>
      <c r="B643" t="str">
        <f>IF(F643=2020,INDEX(SOC2020_Structure!E:E,MATCH(sectorLookup!A643,SOC2020_Structure!D:D,0)),INDEX(SOC2010_Structure!E:E,MATCH(sectorLookup!A643,SOC2010_Structure!D:D,0)))</f>
        <v>Physical scientists</v>
      </c>
      <c r="C643" t="s">
        <v>684</v>
      </c>
      <c r="D643" t="str">
        <f>INDEX('group info'!B:B,MATCH(sectorLookup!C643,'group info'!A:A,0))</f>
        <v>STEM plus medicine and health and other</v>
      </c>
      <c r="E643" t="s">
        <v>322</v>
      </c>
      <c r="F643">
        <v>2010</v>
      </c>
      <c r="G643" t="str">
        <f t="shared" ref="G643:G706" si="10">D643&amp;" SOC"&amp;F643</f>
        <v>STEM plus medicine and health and other SOC2010</v>
      </c>
    </row>
    <row r="644" spans="1:7" x14ac:dyDescent="0.35">
      <c r="A644">
        <v>2114</v>
      </c>
      <c r="B644" t="str">
        <f>IF(F644=2020,INDEX(SOC2020_Structure!E:E,MATCH(sectorLookup!A644,SOC2020_Structure!D:D,0)),INDEX(SOC2010_Structure!E:E,MATCH(sectorLookup!A644,SOC2010_Structure!D:D,0)))</f>
        <v>Social and humanities scientists</v>
      </c>
      <c r="C644" t="s">
        <v>684</v>
      </c>
      <c r="D644" t="str">
        <f>INDEX('group info'!B:B,MATCH(sectorLookup!C644,'group info'!A:A,0))</f>
        <v>STEM plus medicine and health and other</v>
      </c>
      <c r="E644" t="s">
        <v>322</v>
      </c>
      <c r="F644">
        <v>2010</v>
      </c>
      <c r="G644" t="str">
        <f t="shared" si="10"/>
        <v>STEM plus medicine and health and other SOC2010</v>
      </c>
    </row>
    <row r="645" spans="1:7" x14ac:dyDescent="0.35">
      <c r="A645">
        <v>2119</v>
      </c>
      <c r="B645" t="str">
        <f>IF(F645=2020,INDEX(SOC2020_Structure!E:E,MATCH(sectorLookup!A645,SOC2020_Structure!D:D,0)),INDEX(SOC2010_Structure!E:E,MATCH(sectorLookup!A645,SOC2010_Structure!D:D,0)))</f>
        <v>Natural and social science professionals n.e.c.</v>
      </c>
      <c r="C645" t="s">
        <v>684</v>
      </c>
      <c r="D645" t="str">
        <f>INDEX('group info'!B:B,MATCH(sectorLookup!C645,'group info'!A:A,0))</f>
        <v>STEM plus medicine and health and other</v>
      </c>
      <c r="E645" t="s">
        <v>322</v>
      </c>
      <c r="F645">
        <v>2010</v>
      </c>
      <c r="G645" t="str">
        <f t="shared" si="10"/>
        <v>STEM plus medicine and health and other SOC2010</v>
      </c>
    </row>
    <row r="646" spans="1:7" x14ac:dyDescent="0.35">
      <c r="A646">
        <v>2121</v>
      </c>
      <c r="B646" t="str">
        <f>IF(F646=2020,INDEX(SOC2020_Structure!E:E,MATCH(sectorLookup!A646,SOC2020_Structure!D:D,0)),INDEX(SOC2010_Structure!E:E,MATCH(sectorLookup!A646,SOC2010_Structure!D:D,0)))</f>
        <v>Civil engineers</v>
      </c>
      <c r="C646" t="s">
        <v>684</v>
      </c>
      <c r="D646" t="str">
        <f>INDEX('group info'!B:B,MATCH(sectorLookup!C646,'group info'!A:A,0))</f>
        <v>STEM plus medicine and health and other</v>
      </c>
      <c r="E646" t="s">
        <v>322</v>
      </c>
      <c r="F646">
        <v>2010</v>
      </c>
      <c r="G646" t="str">
        <f t="shared" si="10"/>
        <v>STEM plus medicine and health and other SOC2010</v>
      </c>
    </row>
    <row r="647" spans="1:7" x14ac:dyDescent="0.35">
      <c r="A647">
        <v>2122</v>
      </c>
      <c r="B647" t="str">
        <f>IF(F647=2020,INDEX(SOC2020_Structure!E:E,MATCH(sectorLookup!A647,SOC2020_Structure!D:D,0)),INDEX(SOC2010_Structure!E:E,MATCH(sectorLookup!A647,SOC2010_Structure!D:D,0)))</f>
        <v>Mechanical engineers</v>
      </c>
      <c r="C647" t="s">
        <v>684</v>
      </c>
      <c r="D647" t="str">
        <f>INDEX('group info'!B:B,MATCH(sectorLookup!C647,'group info'!A:A,0))</f>
        <v>STEM plus medicine and health and other</v>
      </c>
      <c r="E647" t="s">
        <v>322</v>
      </c>
      <c r="F647">
        <v>2010</v>
      </c>
      <c r="G647" t="str">
        <f t="shared" si="10"/>
        <v>STEM plus medicine and health and other SOC2010</v>
      </c>
    </row>
    <row r="648" spans="1:7" x14ac:dyDescent="0.35">
      <c r="A648">
        <v>2123</v>
      </c>
      <c r="B648" t="str">
        <f>IF(F648=2020,INDEX(SOC2020_Structure!E:E,MATCH(sectorLookup!A648,SOC2020_Structure!D:D,0)),INDEX(SOC2010_Structure!E:E,MATCH(sectorLookup!A648,SOC2010_Structure!D:D,0)))</f>
        <v>Electrical engineers</v>
      </c>
      <c r="C648" t="s">
        <v>684</v>
      </c>
      <c r="D648" t="str">
        <f>INDEX('group info'!B:B,MATCH(sectorLookup!C648,'group info'!A:A,0))</f>
        <v>STEM plus medicine and health and other</v>
      </c>
      <c r="E648" t="s">
        <v>322</v>
      </c>
      <c r="F648">
        <v>2010</v>
      </c>
      <c r="G648" t="str">
        <f t="shared" si="10"/>
        <v>STEM plus medicine and health and other SOC2010</v>
      </c>
    </row>
    <row r="649" spans="1:7" x14ac:dyDescent="0.35">
      <c r="A649">
        <v>2124</v>
      </c>
      <c r="B649" t="str">
        <f>IF(F649=2020,INDEX(SOC2020_Structure!E:E,MATCH(sectorLookup!A649,SOC2020_Structure!D:D,0)),INDEX(SOC2010_Structure!E:E,MATCH(sectorLookup!A649,SOC2010_Structure!D:D,0)))</f>
        <v>Electronics engineers</v>
      </c>
      <c r="C649" t="s">
        <v>684</v>
      </c>
      <c r="D649" t="str">
        <f>INDEX('group info'!B:B,MATCH(sectorLookup!C649,'group info'!A:A,0))</f>
        <v>STEM plus medicine and health and other</v>
      </c>
      <c r="E649" t="s">
        <v>322</v>
      </c>
      <c r="F649">
        <v>2010</v>
      </c>
      <c r="G649" t="str">
        <f t="shared" si="10"/>
        <v>STEM plus medicine and health and other SOC2010</v>
      </c>
    </row>
    <row r="650" spans="1:7" x14ac:dyDescent="0.35">
      <c r="A650">
        <v>2126</v>
      </c>
      <c r="B650" t="str">
        <f>IF(F650=2020,INDEX(SOC2020_Structure!E:E,MATCH(sectorLookup!A650,SOC2020_Structure!D:D,0)),INDEX(SOC2010_Structure!E:E,MATCH(sectorLookup!A650,SOC2010_Structure!D:D,0)))</f>
        <v>Design and development engineers</v>
      </c>
      <c r="C650" t="s">
        <v>684</v>
      </c>
      <c r="D650" t="str">
        <f>INDEX('group info'!B:B,MATCH(sectorLookup!C650,'group info'!A:A,0))</f>
        <v>STEM plus medicine and health and other</v>
      </c>
      <c r="E650" t="s">
        <v>322</v>
      </c>
      <c r="F650">
        <v>2010</v>
      </c>
      <c r="G650" t="str">
        <f t="shared" si="10"/>
        <v>STEM plus medicine and health and other SOC2010</v>
      </c>
    </row>
    <row r="651" spans="1:7" x14ac:dyDescent="0.35">
      <c r="A651">
        <v>2127</v>
      </c>
      <c r="B651" t="str">
        <f>IF(F651=2020,INDEX(SOC2020_Structure!E:E,MATCH(sectorLookup!A651,SOC2020_Structure!D:D,0)),INDEX(SOC2010_Structure!E:E,MATCH(sectorLookup!A651,SOC2010_Structure!D:D,0)))</f>
        <v>Production and process engineers</v>
      </c>
      <c r="C651" t="s">
        <v>684</v>
      </c>
      <c r="D651" t="str">
        <f>INDEX('group info'!B:B,MATCH(sectorLookup!C651,'group info'!A:A,0))</f>
        <v>STEM plus medicine and health and other</v>
      </c>
      <c r="E651" t="s">
        <v>322</v>
      </c>
      <c r="F651">
        <v>2010</v>
      </c>
      <c r="G651" t="str">
        <f t="shared" si="10"/>
        <v>STEM plus medicine and health and other SOC2010</v>
      </c>
    </row>
    <row r="652" spans="1:7" x14ac:dyDescent="0.35">
      <c r="A652">
        <v>2129</v>
      </c>
      <c r="B652" t="str">
        <f>IF(F652=2020,INDEX(SOC2020_Structure!E:E,MATCH(sectorLookup!A652,SOC2020_Structure!D:D,0)),INDEX(SOC2010_Structure!E:E,MATCH(sectorLookup!A652,SOC2010_Structure!D:D,0)))</f>
        <v>Engineering professionals n.e.c.</v>
      </c>
      <c r="C652" t="s">
        <v>684</v>
      </c>
      <c r="D652" t="str">
        <f>INDEX('group info'!B:B,MATCH(sectorLookup!C652,'group info'!A:A,0))</f>
        <v>STEM plus medicine and health and other</v>
      </c>
      <c r="E652" t="s">
        <v>322</v>
      </c>
      <c r="F652">
        <v>2010</v>
      </c>
      <c r="G652" t="str">
        <f t="shared" si="10"/>
        <v>STEM plus medicine and health and other SOC2010</v>
      </c>
    </row>
    <row r="653" spans="1:7" x14ac:dyDescent="0.35">
      <c r="A653">
        <v>2133</v>
      </c>
      <c r="B653" t="str">
        <f>IF(F653=2020,INDEX(SOC2020_Structure!E:E,MATCH(sectorLookup!A653,SOC2020_Structure!D:D,0)),INDEX(SOC2010_Structure!E:E,MATCH(sectorLookup!A653,SOC2010_Structure!D:D,0)))</f>
        <v>IT specialist managers</v>
      </c>
      <c r="C653" t="s">
        <v>684</v>
      </c>
      <c r="D653" t="str">
        <f>INDEX('group info'!B:B,MATCH(sectorLookup!C653,'group info'!A:A,0))</f>
        <v>STEM plus medicine and health and other</v>
      </c>
      <c r="E653" t="s">
        <v>322</v>
      </c>
      <c r="F653">
        <v>2010</v>
      </c>
      <c r="G653" t="str">
        <f t="shared" si="10"/>
        <v>STEM plus medicine and health and other SOC2010</v>
      </c>
    </row>
    <row r="654" spans="1:7" x14ac:dyDescent="0.35">
      <c r="A654">
        <v>2134</v>
      </c>
      <c r="B654" t="str">
        <f>IF(F654=2020,INDEX(SOC2020_Structure!E:E,MATCH(sectorLookup!A654,SOC2020_Structure!D:D,0)),INDEX(SOC2010_Structure!E:E,MATCH(sectorLookup!A654,SOC2010_Structure!D:D,0)))</f>
        <v>IT project and programme managers</v>
      </c>
      <c r="C654" t="s">
        <v>684</v>
      </c>
      <c r="D654" t="str">
        <f>INDEX('group info'!B:B,MATCH(sectorLookup!C654,'group info'!A:A,0))</f>
        <v>STEM plus medicine and health and other</v>
      </c>
      <c r="E654" t="s">
        <v>322</v>
      </c>
      <c r="F654">
        <v>2010</v>
      </c>
      <c r="G654" t="str">
        <f t="shared" si="10"/>
        <v>STEM plus medicine and health and other SOC2010</v>
      </c>
    </row>
    <row r="655" spans="1:7" x14ac:dyDescent="0.35">
      <c r="A655">
        <v>2135</v>
      </c>
      <c r="B655" t="str">
        <f>IF(F655=2020,INDEX(SOC2020_Structure!E:E,MATCH(sectorLookup!A655,SOC2020_Structure!D:D,0)),INDEX(SOC2010_Structure!E:E,MATCH(sectorLookup!A655,SOC2010_Structure!D:D,0)))</f>
        <v>IT business analysts, architects and systems designers</v>
      </c>
      <c r="C655" t="s">
        <v>684</v>
      </c>
      <c r="D655" t="str">
        <f>INDEX('group info'!B:B,MATCH(sectorLookup!C655,'group info'!A:A,0))</f>
        <v>STEM plus medicine and health and other</v>
      </c>
      <c r="E655" t="s">
        <v>322</v>
      </c>
      <c r="F655">
        <v>2010</v>
      </c>
      <c r="G655" t="str">
        <f t="shared" si="10"/>
        <v>STEM plus medicine and health and other SOC2010</v>
      </c>
    </row>
    <row r="656" spans="1:7" x14ac:dyDescent="0.35">
      <c r="A656">
        <v>2136</v>
      </c>
      <c r="B656" t="str">
        <f>IF(F656=2020,INDEX(SOC2020_Structure!E:E,MATCH(sectorLookup!A656,SOC2020_Structure!D:D,0)),INDEX(SOC2010_Structure!E:E,MATCH(sectorLookup!A656,SOC2010_Structure!D:D,0)))</f>
        <v>Programmers and software development professionals</v>
      </c>
      <c r="C656" t="s">
        <v>684</v>
      </c>
      <c r="D656" t="str">
        <f>INDEX('group info'!B:B,MATCH(sectorLookup!C656,'group info'!A:A,0))</f>
        <v>STEM plus medicine and health and other</v>
      </c>
      <c r="E656" t="s">
        <v>322</v>
      </c>
      <c r="F656">
        <v>2010</v>
      </c>
      <c r="G656" t="str">
        <f t="shared" si="10"/>
        <v>STEM plus medicine and health and other SOC2010</v>
      </c>
    </row>
    <row r="657" spans="1:7" x14ac:dyDescent="0.35">
      <c r="A657">
        <v>2139</v>
      </c>
      <c r="B657" t="str">
        <f>IF(F657=2020,INDEX(SOC2020_Structure!E:E,MATCH(sectorLookup!A657,SOC2020_Structure!D:D,0)),INDEX(SOC2010_Structure!E:E,MATCH(sectorLookup!A657,SOC2010_Structure!D:D,0)))</f>
        <v>Information technology and telecommunications professionals n.e.c.</v>
      </c>
      <c r="C657" t="s">
        <v>684</v>
      </c>
      <c r="D657" t="str">
        <f>INDEX('group info'!B:B,MATCH(sectorLookup!C657,'group info'!A:A,0))</f>
        <v>STEM plus medicine and health and other</v>
      </c>
      <c r="E657" t="s">
        <v>322</v>
      </c>
      <c r="F657">
        <v>2010</v>
      </c>
      <c r="G657" t="str">
        <f t="shared" si="10"/>
        <v>STEM plus medicine and health and other SOC2010</v>
      </c>
    </row>
    <row r="658" spans="1:7" x14ac:dyDescent="0.35">
      <c r="A658">
        <v>2141</v>
      </c>
      <c r="B658" t="str">
        <f>IF(F658=2020,INDEX(SOC2020_Structure!E:E,MATCH(sectorLookup!A658,SOC2020_Structure!D:D,0)),INDEX(SOC2010_Structure!E:E,MATCH(sectorLookup!A658,SOC2010_Structure!D:D,0)))</f>
        <v>Conservation professionals</v>
      </c>
      <c r="C658" t="s">
        <v>684</v>
      </c>
      <c r="D658" t="str">
        <f>INDEX('group info'!B:B,MATCH(sectorLookup!C658,'group info'!A:A,0))</f>
        <v>STEM plus medicine and health and other</v>
      </c>
      <c r="E658" t="s">
        <v>322</v>
      </c>
      <c r="F658">
        <v>2010</v>
      </c>
      <c r="G658" t="str">
        <f t="shared" si="10"/>
        <v>STEM plus medicine and health and other SOC2010</v>
      </c>
    </row>
    <row r="659" spans="1:7" x14ac:dyDescent="0.35">
      <c r="A659">
        <v>2142</v>
      </c>
      <c r="B659" t="str">
        <f>IF(F659=2020,INDEX(SOC2020_Structure!E:E,MATCH(sectorLookup!A659,SOC2020_Structure!D:D,0)),INDEX(SOC2010_Structure!E:E,MATCH(sectorLookup!A659,SOC2010_Structure!D:D,0)))</f>
        <v>Environment professionals</v>
      </c>
      <c r="C659" t="s">
        <v>684</v>
      </c>
      <c r="D659" t="str">
        <f>INDEX('group info'!B:B,MATCH(sectorLookup!C659,'group info'!A:A,0))</f>
        <v>STEM plus medicine and health and other</v>
      </c>
      <c r="E659" t="s">
        <v>322</v>
      </c>
      <c r="F659">
        <v>2010</v>
      </c>
      <c r="G659" t="str">
        <f t="shared" si="10"/>
        <v>STEM plus medicine and health and other SOC2010</v>
      </c>
    </row>
    <row r="660" spans="1:7" x14ac:dyDescent="0.35">
      <c r="A660">
        <v>2150</v>
      </c>
      <c r="B660" t="str">
        <f>IF(F660=2020,INDEX(SOC2020_Structure!E:E,MATCH(sectorLookup!A660,SOC2020_Structure!D:D,0)),INDEX(SOC2010_Structure!E:E,MATCH(sectorLookup!A660,SOC2010_Structure!D:D,0)))</f>
        <v>Research and development managers</v>
      </c>
      <c r="C660" t="s">
        <v>684</v>
      </c>
      <c r="D660" t="str">
        <f>INDEX('group info'!B:B,MATCH(sectorLookup!C660,'group info'!A:A,0))</f>
        <v>STEM plus medicine and health and other</v>
      </c>
      <c r="E660" t="s">
        <v>322</v>
      </c>
      <c r="F660">
        <v>2010</v>
      </c>
      <c r="G660" t="str">
        <f t="shared" si="10"/>
        <v>STEM plus medicine and health and other SOC2010</v>
      </c>
    </row>
    <row r="661" spans="1:7" x14ac:dyDescent="0.35">
      <c r="A661">
        <v>2211</v>
      </c>
      <c r="B661" t="str">
        <f>IF(F661=2020,INDEX(SOC2020_Structure!E:E,MATCH(sectorLookup!A661,SOC2020_Structure!D:D,0)),INDEX(SOC2010_Structure!E:E,MATCH(sectorLookup!A661,SOC2010_Structure!D:D,0)))</f>
        <v>Medical practitioners</v>
      </c>
      <c r="C661" t="s">
        <v>684</v>
      </c>
      <c r="D661" t="str">
        <f>INDEX('group info'!B:B,MATCH(sectorLookup!C661,'group info'!A:A,0))</f>
        <v>STEM plus medicine and health and other</v>
      </c>
      <c r="E661" t="s">
        <v>322</v>
      </c>
      <c r="F661">
        <v>2010</v>
      </c>
      <c r="G661" t="str">
        <f t="shared" si="10"/>
        <v>STEM plus medicine and health and other SOC2010</v>
      </c>
    </row>
    <row r="662" spans="1:7" x14ac:dyDescent="0.35">
      <c r="A662">
        <v>2212</v>
      </c>
      <c r="B662" t="str">
        <f>IF(F662=2020,INDEX(SOC2020_Structure!E:E,MATCH(sectorLookup!A662,SOC2020_Structure!D:D,0)),INDEX(SOC2010_Structure!E:E,MATCH(sectorLookup!A662,SOC2010_Structure!D:D,0)))</f>
        <v>Psychologists</v>
      </c>
      <c r="C662" t="s">
        <v>684</v>
      </c>
      <c r="D662" t="str">
        <f>INDEX('group info'!B:B,MATCH(sectorLookup!C662,'group info'!A:A,0))</f>
        <v>STEM plus medicine and health and other</v>
      </c>
      <c r="E662" t="s">
        <v>322</v>
      </c>
      <c r="F662">
        <v>2010</v>
      </c>
      <c r="G662" t="str">
        <f t="shared" si="10"/>
        <v>STEM plus medicine and health and other SOC2010</v>
      </c>
    </row>
    <row r="663" spans="1:7" x14ac:dyDescent="0.35">
      <c r="A663">
        <v>2213</v>
      </c>
      <c r="B663" t="str">
        <f>IF(F663=2020,INDEX(SOC2020_Structure!E:E,MATCH(sectorLookup!A663,SOC2020_Structure!D:D,0)),INDEX(SOC2010_Structure!E:E,MATCH(sectorLookup!A663,SOC2010_Structure!D:D,0)))</f>
        <v>Pharmacists</v>
      </c>
      <c r="C663" t="s">
        <v>684</v>
      </c>
      <c r="D663" t="str">
        <f>INDEX('group info'!B:B,MATCH(sectorLookup!C663,'group info'!A:A,0))</f>
        <v>STEM plus medicine and health and other</v>
      </c>
      <c r="E663" t="s">
        <v>322</v>
      </c>
      <c r="F663">
        <v>2010</v>
      </c>
      <c r="G663" t="str">
        <f t="shared" si="10"/>
        <v>STEM plus medicine and health and other SOC2010</v>
      </c>
    </row>
    <row r="664" spans="1:7" x14ac:dyDescent="0.35">
      <c r="A664">
        <v>2214</v>
      </c>
      <c r="B664" t="str">
        <f>IF(F664=2020,INDEX(SOC2020_Structure!E:E,MATCH(sectorLookup!A664,SOC2020_Structure!D:D,0)),INDEX(SOC2010_Structure!E:E,MATCH(sectorLookup!A664,SOC2010_Structure!D:D,0)))</f>
        <v>Ophthalmic opticians</v>
      </c>
      <c r="C664" t="s">
        <v>684</v>
      </c>
      <c r="D664" t="str">
        <f>INDEX('group info'!B:B,MATCH(sectorLookup!C664,'group info'!A:A,0))</f>
        <v>STEM plus medicine and health and other</v>
      </c>
      <c r="E664" t="s">
        <v>322</v>
      </c>
      <c r="F664">
        <v>2010</v>
      </c>
      <c r="G664" t="str">
        <f t="shared" si="10"/>
        <v>STEM plus medicine and health and other SOC2010</v>
      </c>
    </row>
    <row r="665" spans="1:7" x14ac:dyDescent="0.35">
      <c r="A665">
        <v>2215</v>
      </c>
      <c r="B665" t="str">
        <f>IF(F665=2020,INDEX(SOC2020_Structure!E:E,MATCH(sectorLookup!A665,SOC2020_Structure!D:D,0)),INDEX(SOC2010_Structure!E:E,MATCH(sectorLookup!A665,SOC2010_Structure!D:D,0)))</f>
        <v>Dental practitioners</v>
      </c>
      <c r="C665" t="s">
        <v>684</v>
      </c>
      <c r="D665" t="str">
        <f>INDEX('group info'!B:B,MATCH(sectorLookup!C665,'group info'!A:A,0))</f>
        <v>STEM plus medicine and health and other</v>
      </c>
      <c r="E665" t="s">
        <v>322</v>
      </c>
      <c r="F665">
        <v>2010</v>
      </c>
      <c r="G665" t="str">
        <f t="shared" si="10"/>
        <v>STEM plus medicine and health and other SOC2010</v>
      </c>
    </row>
    <row r="666" spans="1:7" x14ac:dyDescent="0.35">
      <c r="A666">
        <v>2216</v>
      </c>
      <c r="B666" t="str">
        <f>IF(F666=2020,INDEX(SOC2020_Structure!E:E,MATCH(sectorLookup!A666,SOC2020_Structure!D:D,0)),INDEX(SOC2010_Structure!E:E,MATCH(sectorLookup!A666,SOC2010_Structure!D:D,0)))</f>
        <v>Veterinarians</v>
      </c>
      <c r="C666" t="s">
        <v>684</v>
      </c>
      <c r="D666" t="str">
        <f>INDEX('group info'!B:B,MATCH(sectorLookup!C666,'group info'!A:A,0))</f>
        <v>STEM plus medicine and health and other</v>
      </c>
      <c r="E666" t="s">
        <v>322</v>
      </c>
      <c r="F666">
        <v>2010</v>
      </c>
      <c r="G666" t="str">
        <f t="shared" si="10"/>
        <v>STEM plus medicine and health and other SOC2010</v>
      </c>
    </row>
    <row r="667" spans="1:7" x14ac:dyDescent="0.35">
      <c r="A667">
        <v>2217</v>
      </c>
      <c r="B667" t="str">
        <f>IF(F667=2020,INDEX(SOC2020_Structure!E:E,MATCH(sectorLookup!A667,SOC2020_Structure!D:D,0)),INDEX(SOC2010_Structure!E:E,MATCH(sectorLookup!A667,SOC2010_Structure!D:D,0)))</f>
        <v>Medical radiographers</v>
      </c>
      <c r="C667" t="s">
        <v>684</v>
      </c>
      <c r="D667" t="str">
        <f>INDEX('group info'!B:B,MATCH(sectorLookup!C667,'group info'!A:A,0))</f>
        <v>STEM plus medicine and health and other</v>
      </c>
      <c r="E667" t="s">
        <v>322</v>
      </c>
      <c r="F667">
        <v>2010</v>
      </c>
      <c r="G667" t="str">
        <f t="shared" si="10"/>
        <v>STEM plus medicine and health and other SOC2010</v>
      </c>
    </row>
    <row r="668" spans="1:7" x14ac:dyDescent="0.35">
      <c r="A668">
        <v>2218</v>
      </c>
      <c r="B668" t="str">
        <f>IF(F668=2020,INDEX(SOC2020_Structure!E:E,MATCH(sectorLookup!A668,SOC2020_Structure!D:D,0)),INDEX(SOC2010_Structure!E:E,MATCH(sectorLookup!A668,SOC2010_Structure!D:D,0)))</f>
        <v>Podiatrists</v>
      </c>
      <c r="C668" t="s">
        <v>684</v>
      </c>
      <c r="D668" t="str">
        <f>INDEX('group info'!B:B,MATCH(sectorLookup!C668,'group info'!A:A,0))</f>
        <v>STEM plus medicine and health and other</v>
      </c>
      <c r="E668" t="s">
        <v>322</v>
      </c>
      <c r="F668">
        <v>2010</v>
      </c>
      <c r="G668" t="str">
        <f t="shared" si="10"/>
        <v>STEM plus medicine and health and other SOC2010</v>
      </c>
    </row>
    <row r="669" spans="1:7" x14ac:dyDescent="0.35">
      <c r="A669">
        <v>2219</v>
      </c>
      <c r="B669" t="str">
        <f>IF(F669=2020,INDEX(SOC2020_Structure!E:E,MATCH(sectorLookup!A669,SOC2020_Structure!D:D,0)),INDEX(SOC2010_Structure!E:E,MATCH(sectorLookup!A669,SOC2010_Structure!D:D,0)))</f>
        <v>Health professionals n.e.c.</v>
      </c>
      <c r="C669" t="s">
        <v>684</v>
      </c>
      <c r="D669" t="str">
        <f>INDEX('group info'!B:B,MATCH(sectorLookup!C669,'group info'!A:A,0))</f>
        <v>STEM plus medicine and health and other</v>
      </c>
      <c r="E669" t="s">
        <v>322</v>
      </c>
      <c r="F669">
        <v>2010</v>
      </c>
      <c r="G669" t="str">
        <f t="shared" si="10"/>
        <v>STEM plus medicine and health and other SOC2010</v>
      </c>
    </row>
    <row r="670" spans="1:7" x14ac:dyDescent="0.35">
      <c r="A670">
        <v>2221</v>
      </c>
      <c r="B670" t="str">
        <f>IF(F670=2020,INDEX(SOC2020_Structure!E:E,MATCH(sectorLookup!A670,SOC2020_Structure!D:D,0)),INDEX(SOC2010_Structure!E:E,MATCH(sectorLookup!A670,SOC2010_Structure!D:D,0)))</f>
        <v>Physiotherapists</v>
      </c>
      <c r="C670" t="s">
        <v>684</v>
      </c>
      <c r="D670" t="str">
        <f>INDEX('group info'!B:B,MATCH(sectorLookup!C670,'group info'!A:A,0))</f>
        <v>STEM plus medicine and health and other</v>
      </c>
      <c r="E670" t="s">
        <v>322</v>
      </c>
      <c r="F670">
        <v>2010</v>
      </c>
      <c r="G670" t="str">
        <f t="shared" si="10"/>
        <v>STEM plus medicine and health and other SOC2010</v>
      </c>
    </row>
    <row r="671" spans="1:7" x14ac:dyDescent="0.35">
      <c r="A671">
        <v>2222</v>
      </c>
      <c r="B671" t="str">
        <f>IF(F671=2020,INDEX(SOC2020_Structure!E:E,MATCH(sectorLookup!A671,SOC2020_Structure!D:D,0)),INDEX(SOC2010_Structure!E:E,MATCH(sectorLookup!A671,SOC2010_Structure!D:D,0)))</f>
        <v>Occupational therapists</v>
      </c>
      <c r="C671" t="s">
        <v>684</v>
      </c>
      <c r="D671" t="str">
        <f>INDEX('group info'!B:B,MATCH(sectorLookup!C671,'group info'!A:A,0))</f>
        <v>STEM plus medicine and health and other</v>
      </c>
      <c r="E671" t="s">
        <v>322</v>
      </c>
      <c r="F671">
        <v>2010</v>
      </c>
      <c r="G671" t="str">
        <f t="shared" si="10"/>
        <v>STEM plus medicine and health and other SOC2010</v>
      </c>
    </row>
    <row r="672" spans="1:7" x14ac:dyDescent="0.35">
      <c r="A672">
        <v>2223</v>
      </c>
      <c r="B672" t="str">
        <f>IF(F672=2020,INDEX(SOC2020_Structure!E:E,MATCH(sectorLookup!A672,SOC2020_Structure!D:D,0)),INDEX(SOC2010_Structure!E:E,MATCH(sectorLookup!A672,SOC2010_Structure!D:D,0)))</f>
        <v>Speech and language therapists</v>
      </c>
      <c r="C672" t="s">
        <v>684</v>
      </c>
      <c r="D672" t="str">
        <f>INDEX('group info'!B:B,MATCH(sectorLookup!C672,'group info'!A:A,0))</f>
        <v>STEM plus medicine and health and other</v>
      </c>
      <c r="E672" t="s">
        <v>322</v>
      </c>
      <c r="F672">
        <v>2010</v>
      </c>
      <c r="G672" t="str">
        <f t="shared" si="10"/>
        <v>STEM plus medicine and health and other SOC2010</v>
      </c>
    </row>
    <row r="673" spans="1:7" x14ac:dyDescent="0.35">
      <c r="A673">
        <v>2229</v>
      </c>
      <c r="B673" t="str">
        <f>IF(F673=2020,INDEX(SOC2020_Structure!E:E,MATCH(sectorLookup!A673,SOC2020_Structure!D:D,0)),INDEX(SOC2010_Structure!E:E,MATCH(sectorLookup!A673,SOC2010_Structure!D:D,0)))</f>
        <v>Therapy professionals n.e.c.</v>
      </c>
      <c r="C673" t="s">
        <v>684</v>
      </c>
      <c r="D673" t="str">
        <f>INDEX('group info'!B:B,MATCH(sectorLookup!C673,'group info'!A:A,0))</f>
        <v>STEM plus medicine and health and other</v>
      </c>
      <c r="E673" t="s">
        <v>322</v>
      </c>
      <c r="F673">
        <v>2010</v>
      </c>
      <c r="G673" t="str">
        <f t="shared" si="10"/>
        <v>STEM plus medicine and health and other SOC2010</v>
      </c>
    </row>
    <row r="674" spans="1:7" x14ac:dyDescent="0.35">
      <c r="A674">
        <v>2231</v>
      </c>
      <c r="B674" t="str">
        <f>IF(F674=2020,INDEX(SOC2020_Structure!E:E,MATCH(sectorLookup!A674,SOC2020_Structure!D:D,0)),INDEX(SOC2010_Structure!E:E,MATCH(sectorLookup!A674,SOC2010_Structure!D:D,0)))</f>
        <v>Nurses</v>
      </c>
      <c r="C674" t="s">
        <v>684</v>
      </c>
      <c r="D674" t="str">
        <f>INDEX('group info'!B:B,MATCH(sectorLookup!C674,'group info'!A:A,0))</f>
        <v>STEM plus medicine and health and other</v>
      </c>
      <c r="E674" t="s">
        <v>322</v>
      </c>
      <c r="F674">
        <v>2010</v>
      </c>
      <c r="G674" t="str">
        <f t="shared" si="10"/>
        <v>STEM plus medicine and health and other SOC2010</v>
      </c>
    </row>
    <row r="675" spans="1:7" x14ac:dyDescent="0.35">
      <c r="A675">
        <v>2232</v>
      </c>
      <c r="B675" t="str">
        <f>IF(F675=2020,INDEX(SOC2020_Structure!E:E,MATCH(sectorLookup!A675,SOC2020_Structure!D:D,0)),INDEX(SOC2010_Structure!E:E,MATCH(sectorLookup!A675,SOC2010_Structure!D:D,0)))</f>
        <v>Midwives</v>
      </c>
      <c r="C675" t="s">
        <v>684</v>
      </c>
      <c r="D675" t="str">
        <f>INDEX('group info'!B:B,MATCH(sectorLookup!C675,'group info'!A:A,0))</f>
        <v>STEM plus medicine and health and other</v>
      </c>
      <c r="E675" t="s">
        <v>322</v>
      </c>
      <c r="F675">
        <v>2010</v>
      </c>
      <c r="G675" t="str">
        <f t="shared" si="10"/>
        <v>STEM plus medicine and health and other SOC2010</v>
      </c>
    </row>
    <row r="676" spans="1:7" x14ac:dyDescent="0.35">
      <c r="A676">
        <v>2311</v>
      </c>
      <c r="B676" t="str">
        <f>IF(F676=2020,INDEX(SOC2020_Structure!E:E,MATCH(sectorLookup!A676,SOC2020_Structure!D:D,0)),INDEX(SOC2010_Structure!E:E,MATCH(sectorLookup!A676,SOC2010_Structure!D:D,0)))</f>
        <v>Higher education teaching professionals</v>
      </c>
      <c r="C676" t="s">
        <v>684</v>
      </c>
      <c r="D676" t="str">
        <f>INDEX('group info'!B:B,MATCH(sectorLookup!C676,'group info'!A:A,0))</f>
        <v>STEM plus medicine and health and other</v>
      </c>
      <c r="E676" t="s">
        <v>322</v>
      </c>
      <c r="F676">
        <v>2010</v>
      </c>
      <c r="G676" t="str">
        <f t="shared" si="10"/>
        <v>STEM plus medicine and health and other SOC2010</v>
      </c>
    </row>
    <row r="677" spans="1:7" x14ac:dyDescent="0.35">
      <c r="A677">
        <v>2312</v>
      </c>
      <c r="B677" t="str">
        <f>IF(F677=2020,INDEX(SOC2020_Structure!E:E,MATCH(sectorLookup!A677,SOC2020_Structure!D:D,0)),INDEX(SOC2010_Structure!E:E,MATCH(sectorLookup!A677,SOC2010_Structure!D:D,0)))</f>
        <v>Further education teaching professionals</v>
      </c>
      <c r="C677" t="s">
        <v>684</v>
      </c>
      <c r="D677" t="str">
        <f>INDEX('group info'!B:B,MATCH(sectorLookup!C677,'group info'!A:A,0))</f>
        <v>STEM plus medicine and health and other</v>
      </c>
      <c r="E677" t="s">
        <v>322</v>
      </c>
      <c r="F677">
        <v>2010</v>
      </c>
      <c r="G677" t="str">
        <f t="shared" si="10"/>
        <v>STEM plus medicine and health and other SOC2010</v>
      </c>
    </row>
    <row r="678" spans="1:7" x14ac:dyDescent="0.35">
      <c r="A678">
        <v>2314</v>
      </c>
      <c r="B678" t="str">
        <f>IF(F678=2020,INDEX(SOC2020_Structure!E:E,MATCH(sectorLookup!A678,SOC2020_Structure!D:D,0)),INDEX(SOC2010_Structure!E:E,MATCH(sectorLookup!A678,SOC2010_Structure!D:D,0)))</f>
        <v>Secondary education teaching professionals</v>
      </c>
      <c r="C678" t="s">
        <v>684</v>
      </c>
      <c r="D678" t="str">
        <f>INDEX('group info'!B:B,MATCH(sectorLookup!C678,'group info'!A:A,0))</f>
        <v>STEM plus medicine and health and other</v>
      </c>
      <c r="E678" t="s">
        <v>322</v>
      </c>
      <c r="F678">
        <v>2010</v>
      </c>
      <c r="G678" t="str">
        <f t="shared" si="10"/>
        <v>STEM plus medicine and health and other SOC2010</v>
      </c>
    </row>
    <row r="679" spans="1:7" x14ac:dyDescent="0.35">
      <c r="A679">
        <v>2421</v>
      </c>
      <c r="B679" t="str">
        <f>IF(F679=2020,INDEX(SOC2020_Structure!E:E,MATCH(sectorLookup!A679,SOC2020_Structure!D:D,0)),INDEX(SOC2010_Structure!E:E,MATCH(sectorLookup!A679,SOC2010_Structure!D:D,0)))</f>
        <v>Chartered and certified accountants</v>
      </c>
      <c r="C679" t="s">
        <v>684</v>
      </c>
      <c r="D679" t="str">
        <f>INDEX('group info'!B:B,MATCH(sectorLookup!C679,'group info'!A:A,0))</f>
        <v>STEM plus medicine and health and other</v>
      </c>
      <c r="E679" t="s">
        <v>322</v>
      </c>
      <c r="F679">
        <v>2010</v>
      </c>
      <c r="G679" t="str">
        <f t="shared" si="10"/>
        <v>STEM plus medicine and health and other SOC2010</v>
      </c>
    </row>
    <row r="680" spans="1:7" x14ac:dyDescent="0.35">
      <c r="A680">
        <v>2423</v>
      </c>
      <c r="B680" t="str">
        <f>IF(F680=2020,INDEX(SOC2020_Structure!E:E,MATCH(sectorLookup!A680,SOC2020_Structure!D:D,0)),INDEX(SOC2010_Structure!E:E,MATCH(sectorLookup!A680,SOC2010_Structure!D:D,0)))</f>
        <v>Management consultants and business analysts</v>
      </c>
      <c r="C680" t="s">
        <v>684</v>
      </c>
      <c r="D680" t="str">
        <f>INDEX('group info'!B:B,MATCH(sectorLookup!C680,'group info'!A:A,0))</f>
        <v>STEM plus medicine and health and other</v>
      </c>
      <c r="E680" t="s">
        <v>322</v>
      </c>
      <c r="F680">
        <v>2010</v>
      </c>
      <c r="G680" t="str">
        <f t="shared" si="10"/>
        <v>STEM plus medicine and health and other SOC2010</v>
      </c>
    </row>
    <row r="681" spans="1:7" x14ac:dyDescent="0.35">
      <c r="A681">
        <v>2424</v>
      </c>
      <c r="B681" t="str">
        <f>IF(F681=2020,INDEX(SOC2020_Structure!E:E,MATCH(sectorLookup!A681,SOC2020_Structure!D:D,0)),INDEX(SOC2010_Structure!E:E,MATCH(sectorLookup!A681,SOC2010_Structure!D:D,0)))</f>
        <v>Business and financial project management professionals</v>
      </c>
      <c r="C681" t="s">
        <v>684</v>
      </c>
      <c r="D681" t="str">
        <f>INDEX('group info'!B:B,MATCH(sectorLookup!C681,'group info'!A:A,0))</f>
        <v>STEM plus medicine and health and other</v>
      </c>
      <c r="E681" t="s">
        <v>322</v>
      </c>
      <c r="F681">
        <v>2010</v>
      </c>
      <c r="G681" t="str">
        <f t="shared" si="10"/>
        <v>STEM plus medicine and health and other SOC2010</v>
      </c>
    </row>
    <row r="682" spans="1:7" x14ac:dyDescent="0.35">
      <c r="A682">
        <v>2425</v>
      </c>
      <c r="B682" t="str">
        <f>IF(F682=2020,INDEX(SOC2020_Structure!E:E,MATCH(sectorLookup!A682,SOC2020_Structure!D:D,0)),INDEX(SOC2010_Structure!E:E,MATCH(sectorLookup!A682,SOC2010_Structure!D:D,0)))</f>
        <v>Actuaries, economists and statisticians</v>
      </c>
      <c r="C682" t="s">
        <v>684</v>
      </c>
      <c r="D682" t="str">
        <f>INDEX('group info'!B:B,MATCH(sectorLookup!C682,'group info'!A:A,0))</f>
        <v>STEM plus medicine and health and other</v>
      </c>
      <c r="E682" t="s">
        <v>322</v>
      </c>
      <c r="F682">
        <v>2010</v>
      </c>
      <c r="G682" t="str">
        <f t="shared" si="10"/>
        <v>STEM plus medicine and health and other SOC2010</v>
      </c>
    </row>
    <row r="683" spans="1:7" x14ac:dyDescent="0.35">
      <c r="A683">
        <v>2426</v>
      </c>
      <c r="B683" t="str">
        <f>IF(F683=2020,INDEX(SOC2020_Structure!E:E,MATCH(sectorLookup!A683,SOC2020_Structure!D:D,0)),INDEX(SOC2010_Structure!E:E,MATCH(sectorLookup!A683,SOC2010_Structure!D:D,0)))</f>
        <v>Business and related research professionals</v>
      </c>
      <c r="C683" t="s">
        <v>684</v>
      </c>
      <c r="D683" t="str">
        <f>INDEX('group info'!B:B,MATCH(sectorLookup!C683,'group info'!A:A,0))</f>
        <v>STEM plus medicine and health and other</v>
      </c>
      <c r="E683" t="s">
        <v>322</v>
      </c>
      <c r="F683">
        <v>2010</v>
      </c>
      <c r="G683" t="str">
        <f t="shared" si="10"/>
        <v>STEM plus medicine and health and other SOC2010</v>
      </c>
    </row>
    <row r="684" spans="1:7" x14ac:dyDescent="0.35">
      <c r="A684">
        <v>2431</v>
      </c>
      <c r="B684" t="str">
        <f>IF(F684=2020,INDEX(SOC2020_Structure!E:E,MATCH(sectorLookup!A684,SOC2020_Structure!D:D,0)),INDEX(SOC2010_Structure!E:E,MATCH(sectorLookup!A684,SOC2010_Structure!D:D,0)))</f>
        <v>Architects</v>
      </c>
      <c r="C684" t="s">
        <v>684</v>
      </c>
      <c r="D684" t="str">
        <f>INDEX('group info'!B:B,MATCH(sectorLookup!C684,'group info'!A:A,0))</f>
        <v>STEM plus medicine and health and other</v>
      </c>
      <c r="E684" t="s">
        <v>322</v>
      </c>
      <c r="F684">
        <v>2010</v>
      </c>
      <c r="G684" t="str">
        <f t="shared" si="10"/>
        <v>STEM plus medicine and health and other SOC2010</v>
      </c>
    </row>
    <row r="685" spans="1:7" x14ac:dyDescent="0.35">
      <c r="A685">
        <v>2432</v>
      </c>
      <c r="B685" t="str">
        <f>IF(F685=2020,INDEX(SOC2020_Structure!E:E,MATCH(sectorLookup!A685,SOC2020_Structure!D:D,0)),INDEX(SOC2010_Structure!E:E,MATCH(sectorLookup!A685,SOC2010_Structure!D:D,0)))</f>
        <v>Town planning officers</v>
      </c>
      <c r="C685" t="s">
        <v>684</v>
      </c>
      <c r="D685" t="str">
        <f>INDEX('group info'!B:B,MATCH(sectorLookup!C685,'group info'!A:A,0))</f>
        <v>STEM plus medicine and health and other</v>
      </c>
      <c r="E685" t="s">
        <v>322</v>
      </c>
      <c r="F685">
        <v>2010</v>
      </c>
      <c r="G685" t="str">
        <f t="shared" si="10"/>
        <v>STEM plus medicine and health and other SOC2010</v>
      </c>
    </row>
    <row r="686" spans="1:7" x14ac:dyDescent="0.35">
      <c r="A686">
        <v>2433</v>
      </c>
      <c r="B686" t="str">
        <f>IF(F686=2020,INDEX(SOC2020_Structure!E:E,MATCH(sectorLookup!A686,SOC2020_Structure!D:D,0)),INDEX(SOC2010_Structure!E:E,MATCH(sectorLookup!A686,SOC2010_Structure!D:D,0)))</f>
        <v>Quantity surveyors</v>
      </c>
      <c r="C686" t="s">
        <v>684</v>
      </c>
      <c r="D686" t="str">
        <f>INDEX('group info'!B:B,MATCH(sectorLookup!C686,'group info'!A:A,0))</f>
        <v>STEM plus medicine and health and other</v>
      </c>
      <c r="E686" t="s">
        <v>322</v>
      </c>
      <c r="F686">
        <v>2010</v>
      </c>
      <c r="G686" t="str">
        <f t="shared" si="10"/>
        <v>STEM plus medicine and health and other SOC2010</v>
      </c>
    </row>
    <row r="687" spans="1:7" x14ac:dyDescent="0.35">
      <c r="A687">
        <v>2434</v>
      </c>
      <c r="B687" t="str">
        <f>IF(F687=2020,INDEX(SOC2020_Structure!E:E,MATCH(sectorLookup!A687,SOC2020_Structure!D:D,0)),INDEX(SOC2010_Structure!E:E,MATCH(sectorLookup!A687,SOC2010_Structure!D:D,0)))</f>
        <v>Chartered surveyors</v>
      </c>
      <c r="C687" t="s">
        <v>684</v>
      </c>
      <c r="D687" t="str">
        <f>INDEX('group info'!B:B,MATCH(sectorLookup!C687,'group info'!A:A,0))</f>
        <v>STEM plus medicine and health and other</v>
      </c>
      <c r="E687" t="s">
        <v>322</v>
      </c>
      <c r="F687">
        <v>2010</v>
      </c>
      <c r="G687" t="str">
        <f t="shared" si="10"/>
        <v>STEM plus medicine and health and other SOC2010</v>
      </c>
    </row>
    <row r="688" spans="1:7" x14ac:dyDescent="0.35">
      <c r="A688">
        <v>2435</v>
      </c>
      <c r="B688" t="str">
        <f>IF(F688=2020,INDEX(SOC2020_Structure!E:E,MATCH(sectorLookup!A688,SOC2020_Structure!D:D,0)),INDEX(SOC2010_Structure!E:E,MATCH(sectorLookup!A688,SOC2010_Structure!D:D,0)))</f>
        <v>Chartered architectural technologists</v>
      </c>
      <c r="C688" t="s">
        <v>684</v>
      </c>
      <c r="D688" t="str">
        <f>INDEX('group info'!B:B,MATCH(sectorLookup!C688,'group info'!A:A,0))</f>
        <v>STEM plus medicine and health and other</v>
      </c>
      <c r="E688" t="s">
        <v>322</v>
      </c>
      <c r="F688">
        <v>2010</v>
      </c>
      <c r="G688" t="str">
        <f t="shared" si="10"/>
        <v>STEM plus medicine and health and other SOC2010</v>
      </c>
    </row>
    <row r="689" spans="1:7" x14ac:dyDescent="0.35">
      <c r="A689">
        <v>2436</v>
      </c>
      <c r="B689" t="str">
        <f>IF(F689=2020,INDEX(SOC2020_Structure!E:E,MATCH(sectorLookup!A689,SOC2020_Structure!D:D,0)),INDEX(SOC2010_Structure!E:E,MATCH(sectorLookup!A689,SOC2010_Structure!D:D,0)))</f>
        <v>Construction project managers and related professionals</v>
      </c>
      <c r="C689" t="s">
        <v>684</v>
      </c>
      <c r="D689" t="str">
        <f>INDEX('group info'!B:B,MATCH(sectorLookup!C689,'group info'!A:A,0))</f>
        <v>STEM plus medicine and health and other</v>
      </c>
      <c r="E689" t="s">
        <v>322</v>
      </c>
      <c r="F689">
        <v>2010</v>
      </c>
      <c r="G689" t="str">
        <f t="shared" si="10"/>
        <v>STEM plus medicine and health and other SOC2010</v>
      </c>
    </row>
    <row r="690" spans="1:7" x14ac:dyDescent="0.35">
      <c r="A690">
        <v>2461</v>
      </c>
      <c r="B690" t="str">
        <f>IF(F690=2020,INDEX(SOC2020_Structure!E:E,MATCH(sectorLookup!A690,SOC2020_Structure!D:D,0)),INDEX(SOC2010_Structure!E:E,MATCH(sectorLookup!A690,SOC2010_Structure!D:D,0)))</f>
        <v>Quality control and planning engineers</v>
      </c>
      <c r="C690" t="s">
        <v>684</v>
      </c>
      <c r="D690" t="str">
        <f>INDEX('group info'!B:B,MATCH(sectorLookup!C690,'group info'!A:A,0))</f>
        <v>STEM plus medicine and health and other</v>
      </c>
      <c r="E690" t="s">
        <v>322</v>
      </c>
      <c r="F690">
        <v>2010</v>
      </c>
      <c r="G690" t="str">
        <f t="shared" si="10"/>
        <v>STEM plus medicine and health and other SOC2010</v>
      </c>
    </row>
    <row r="691" spans="1:7" x14ac:dyDescent="0.35">
      <c r="A691">
        <v>2462</v>
      </c>
      <c r="B691" t="str">
        <f>IF(F691=2020,INDEX(SOC2020_Structure!E:E,MATCH(sectorLookup!A691,SOC2020_Structure!D:D,0)),INDEX(SOC2010_Structure!E:E,MATCH(sectorLookup!A691,SOC2010_Structure!D:D,0)))</f>
        <v>Quality assurance and regulatory professionals</v>
      </c>
      <c r="C691" t="s">
        <v>684</v>
      </c>
      <c r="D691" t="str">
        <f>INDEX('group info'!B:B,MATCH(sectorLookup!C691,'group info'!A:A,0))</f>
        <v>STEM plus medicine and health and other</v>
      </c>
      <c r="E691" t="s">
        <v>322</v>
      </c>
      <c r="F691">
        <v>2010</v>
      </c>
      <c r="G691" t="str">
        <f t="shared" si="10"/>
        <v>STEM plus medicine and health and other SOC2010</v>
      </c>
    </row>
    <row r="692" spans="1:7" x14ac:dyDescent="0.35">
      <c r="A692">
        <v>2463</v>
      </c>
      <c r="B692" t="str">
        <f>IF(F692=2020,INDEX(SOC2020_Structure!E:E,MATCH(sectorLookup!A692,SOC2020_Structure!D:D,0)),INDEX(SOC2010_Structure!E:E,MATCH(sectorLookup!A692,SOC2010_Structure!D:D,0)))</f>
        <v>Environmental health professionals</v>
      </c>
      <c r="C692" t="s">
        <v>684</v>
      </c>
      <c r="D692" t="str">
        <f>INDEX('group info'!B:B,MATCH(sectorLookup!C692,'group info'!A:A,0))</f>
        <v>STEM plus medicine and health and other</v>
      </c>
      <c r="E692" t="s">
        <v>322</v>
      </c>
      <c r="F692">
        <v>2010</v>
      </c>
      <c r="G692" t="str">
        <f t="shared" si="10"/>
        <v>STEM plus medicine and health and other SOC2010</v>
      </c>
    </row>
    <row r="693" spans="1:7" x14ac:dyDescent="0.35">
      <c r="A693">
        <v>3111</v>
      </c>
      <c r="B693" t="str">
        <f>IF(F693=2020,INDEX(SOC2020_Structure!E:E,MATCH(sectorLookup!A693,SOC2020_Structure!D:D,0)),INDEX(SOC2010_Structure!E:E,MATCH(sectorLookup!A693,SOC2010_Structure!D:D,0)))</f>
        <v>Laboratory technicians</v>
      </c>
      <c r="C693" t="s">
        <v>684</v>
      </c>
      <c r="D693" t="str">
        <f>INDEX('group info'!B:B,MATCH(sectorLookup!C693,'group info'!A:A,0))</f>
        <v>STEM plus medicine and health and other</v>
      </c>
      <c r="E693" t="s">
        <v>322</v>
      </c>
      <c r="F693">
        <v>2010</v>
      </c>
      <c r="G693" t="str">
        <f t="shared" si="10"/>
        <v>STEM plus medicine and health and other SOC2010</v>
      </c>
    </row>
    <row r="694" spans="1:7" x14ac:dyDescent="0.35">
      <c r="A694">
        <v>3112</v>
      </c>
      <c r="B694" t="str">
        <f>IF(F694=2020,INDEX(SOC2020_Structure!E:E,MATCH(sectorLookup!A694,SOC2020_Structure!D:D,0)),INDEX(SOC2010_Structure!E:E,MATCH(sectorLookup!A694,SOC2010_Structure!D:D,0)))</f>
        <v>Electrical and electronics technicians</v>
      </c>
      <c r="C694" t="s">
        <v>684</v>
      </c>
      <c r="D694" t="str">
        <f>INDEX('group info'!B:B,MATCH(sectorLookup!C694,'group info'!A:A,0))</f>
        <v>STEM plus medicine and health and other</v>
      </c>
      <c r="E694" t="s">
        <v>322</v>
      </c>
      <c r="F694">
        <v>2010</v>
      </c>
      <c r="G694" t="str">
        <f t="shared" si="10"/>
        <v>STEM plus medicine and health and other SOC2010</v>
      </c>
    </row>
    <row r="695" spans="1:7" x14ac:dyDescent="0.35">
      <c r="A695">
        <v>3113</v>
      </c>
      <c r="B695" t="str">
        <f>IF(F695=2020,INDEX(SOC2020_Structure!E:E,MATCH(sectorLookup!A695,SOC2020_Structure!D:D,0)),INDEX(SOC2010_Structure!E:E,MATCH(sectorLookup!A695,SOC2010_Structure!D:D,0)))</f>
        <v>Engineering technicians</v>
      </c>
      <c r="C695" t="s">
        <v>684</v>
      </c>
      <c r="D695" t="str">
        <f>INDEX('group info'!B:B,MATCH(sectorLookup!C695,'group info'!A:A,0))</f>
        <v>STEM plus medicine and health and other</v>
      </c>
      <c r="E695" t="s">
        <v>322</v>
      </c>
      <c r="F695">
        <v>2010</v>
      </c>
      <c r="G695" t="str">
        <f t="shared" si="10"/>
        <v>STEM plus medicine and health and other SOC2010</v>
      </c>
    </row>
    <row r="696" spans="1:7" x14ac:dyDescent="0.35">
      <c r="A696">
        <v>3114</v>
      </c>
      <c r="B696" t="str">
        <f>IF(F696=2020,INDEX(SOC2020_Structure!E:E,MATCH(sectorLookup!A696,SOC2020_Structure!D:D,0)),INDEX(SOC2010_Structure!E:E,MATCH(sectorLookup!A696,SOC2010_Structure!D:D,0)))</f>
        <v>Building and civil engineering technicians</v>
      </c>
      <c r="C696" t="s">
        <v>684</v>
      </c>
      <c r="D696" t="str">
        <f>INDEX('group info'!B:B,MATCH(sectorLookup!C696,'group info'!A:A,0))</f>
        <v>STEM plus medicine and health and other</v>
      </c>
      <c r="E696" t="s">
        <v>322</v>
      </c>
      <c r="F696">
        <v>2010</v>
      </c>
      <c r="G696" t="str">
        <f t="shared" si="10"/>
        <v>STEM plus medicine and health and other SOC2010</v>
      </c>
    </row>
    <row r="697" spans="1:7" x14ac:dyDescent="0.35">
      <c r="A697">
        <v>3115</v>
      </c>
      <c r="B697" t="str">
        <f>IF(F697=2020,INDEX(SOC2020_Structure!E:E,MATCH(sectorLookup!A697,SOC2020_Structure!D:D,0)),INDEX(SOC2010_Structure!E:E,MATCH(sectorLookup!A697,SOC2010_Structure!D:D,0)))</f>
        <v>Quality assurance technicians</v>
      </c>
      <c r="C697" t="s">
        <v>684</v>
      </c>
      <c r="D697" t="str">
        <f>INDEX('group info'!B:B,MATCH(sectorLookup!C697,'group info'!A:A,0))</f>
        <v>STEM plus medicine and health and other</v>
      </c>
      <c r="E697" t="s">
        <v>322</v>
      </c>
      <c r="F697">
        <v>2010</v>
      </c>
      <c r="G697" t="str">
        <f t="shared" si="10"/>
        <v>STEM plus medicine and health and other SOC2010</v>
      </c>
    </row>
    <row r="698" spans="1:7" x14ac:dyDescent="0.35">
      <c r="A698">
        <v>3116</v>
      </c>
      <c r="B698" t="str">
        <f>IF(F698=2020,INDEX(SOC2020_Structure!E:E,MATCH(sectorLookup!A698,SOC2020_Structure!D:D,0)),INDEX(SOC2010_Structure!E:E,MATCH(sectorLookup!A698,SOC2010_Structure!D:D,0)))</f>
        <v>Planning, process and production technicians</v>
      </c>
      <c r="C698" t="s">
        <v>684</v>
      </c>
      <c r="D698" t="str">
        <f>INDEX('group info'!B:B,MATCH(sectorLookup!C698,'group info'!A:A,0))</f>
        <v>STEM plus medicine and health and other</v>
      </c>
      <c r="E698" t="s">
        <v>322</v>
      </c>
      <c r="F698">
        <v>2010</v>
      </c>
      <c r="G698" t="str">
        <f t="shared" si="10"/>
        <v>STEM plus medicine and health and other SOC2010</v>
      </c>
    </row>
    <row r="699" spans="1:7" x14ac:dyDescent="0.35">
      <c r="A699">
        <v>3119</v>
      </c>
      <c r="B699" t="str">
        <f>IF(F699=2020,INDEX(SOC2020_Structure!E:E,MATCH(sectorLookup!A699,SOC2020_Structure!D:D,0)),INDEX(SOC2010_Structure!E:E,MATCH(sectorLookup!A699,SOC2010_Structure!D:D,0)))</f>
        <v>Science, engineering and production technicians n.e.c.</v>
      </c>
      <c r="C699" t="s">
        <v>684</v>
      </c>
      <c r="D699" t="str">
        <f>INDEX('group info'!B:B,MATCH(sectorLookup!C699,'group info'!A:A,0))</f>
        <v>STEM plus medicine and health and other</v>
      </c>
      <c r="E699" t="s">
        <v>322</v>
      </c>
      <c r="F699">
        <v>2010</v>
      </c>
      <c r="G699" t="str">
        <f t="shared" si="10"/>
        <v>STEM plus medicine and health and other SOC2010</v>
      </c>
    </row>
    <row r="700" spans="1:7" x14ac:dyDescent="0.35">
      <c r="A700">
        <v>3121</v>
      </c>
      <c r="B700" t="str">
        <f>IF(F700=2020,INDEX(SOC2020_Structure!E:E,MATCH(sectorLookup!A700,SOC2020_Structure!D:D,0)),INDEX(SOC2010_Structure!E:E,MATCH(sectorLookup!A700,SOC2010_Structure!D:D,0)))</f>
        <v>Architectural and town planning technicians</v>
      </c>
      <c r="C700" t="s">
        <v>684</v>
      </c>
      <c r="D700" t="str">
        <f>INDEX('group info'!B:B,MATCH(sectorLookup!C700,'group info'!A:A,0))</f>
        <v>STEM plus medicine and health and other</v>
      </c>
      <c r="E700" t="s">
        <v>322</v>
      </c>
      <c r="F700">
        <v>2010</v>
      </c>
      <c r="G700" t="str">
        <f t="shared" si="10"/>
        <v>STEM plus medicine and health and other SOC2010</v>
      </c>
    </row>
    <row r="701" spans="1:7" x14ac:dyDescent="0.35">
      <c r="A701">
        <v>3122</v>
      </c>
      <c r="B701" t="str">
        <f>IF(F701=2020,INDEX(SOC2020_Structure!E:E,MATCH(sectorLookup!A701,SOC2020_Structure!D:D,0)),INDEX(SOC2010_Structure!E:E,MATCH(sectorLookup!A701,SOC2010_Structure!D:D,0)))</f>
        <v>Draughtspersons</v>
      </c>
      <c r="C701" t="s">
        <v>684</v>
      </c>
      <c r="D701" t="str">
        <f>INDEX('group info'!B:B,MATCH(sectorLookup!C701,'group info'!A:A,0))</f>
        <v>STEM plus medicine and health and other</v>
      </c>
      <c r="E701" t="s">
        <v>322</v>
      </c>
      <c r="F701">
        <v>2010</v>
      </c>
      <c r="G701" t="str">
        <f t="shared" si="10"/>
        <v>STEM plus medicine and health and other SOC2010</v>
      </c>
    </row>
    <row r="702" spans="1:7" x14ac:dyDescent="0.35">
      <c r="A702">
        <v>3131</v>
      </c>
      <c r="B702" t="str">
        <f>IF(F702=2020,INDEX(SOC2020_Structure!E:E,MATCH(sectorLookup!A702,SOC2020_Structure!D:D,0)),INDEX(SOC2010_Structure!E:E,MATCH(sectorLookup!A702,SOC2010_Structure!D:D,0)))</f>
        <v>IT operations technicians</v>
      </c>
      <c r="C702" t="s">
        <v>684</v>
      </c>
      <c r="D702" t="str">
        <f>INDEX('group info'!B:B,MATCH(sectorLookup!C702,'group info'!A:A,0))</f>
        <v>STEM plus medicine and health and other</v>
      </c>
      <c r="E702" t="s">
        <v>322</v>
      </c>
      <c r="F702">
        <v>2010</v>
      </c>
      <c r="G702" t="str">
        <f t="shared" si="10"/>
        <v>STEM plus medicine and health and other SOC2010</v>
      </c>
    </row>
    <row r="703" spans="1:7" x14ac:dyDescent="0.35">
      <c r="A703">
        <v>3132</v>
      </c>
      <c r="B703" t="str">
        <f>IF(F703=2020,INDEX(SOC2020_Structure!E:E,MATCH(sectorLookup!A703,SOC2020_Structure!D:D,0)),INDEX(SOC2010_Structure!E:E,MATCH(sectorLookup!A703,SOC2010_Structure!D:D,0)))</f>
        <v>IT user support technicians</v>
      </c>
      <c r="C703" t="s">
        <v>684</v>
      </c>
      <c r="D703" t="str">
        <f>INDEX('group info'!B:B,MATCH(sectorLookup!C703,'group info'!A:A,0))</f>
        <v>STEM plus medicine and health and other</v>
      </c>
      <c r="E703" t="s">
        <v>322</v>
      </c>
      <c r="F703">
        <v>2010</v>
      </c>
      <c r="G703" t="str">
        <f t="shared" si="10"/>
        <v>STEM plus medicine and health and other SOC2010</v>
      </c>
    </row>
    <row r="704" spans="1:7" x14ac:dyDescent="0.35">
      <c r="A704">
        <v>3213</v>
      </c>
      <c r="B704" t="str">
        <f>IF(F704=2020,INDEX(SOC2020_Structure!E:E,MATCH(sectorLookup!A704,SOC2020_Structure!D:D,0)),INDEX(SOC2010_Structure!E:E,MATCH(sectorLookup!A704,SOC2010_Structure!D:D,0)))</f>
        <v>Paramedics</v>
      </c>
      <c r="C704" t="s">
        <v>684</v>
      </c>
      <c r="D704" t="str">
        <f>INDEX('group info'!B:B,MATCH(sectorLookup!C704,'group info'!A:A,0))</f>
        <v>STEM plus medicine and health and other</v>
      </c>
      <c r="E704" t="s">
        <v>322</v>
      </c>
      <c r="F704">
        <v>2010</v>
      </c>
      <c r="G704" t="str">
        <f t="shared" si="10"/>
        <v>STEM plus medicine and health and other SOC2010</v>
      </c>
    </row>
    <row r="705" spans="1:7" x14ac:dyDescent="0.35">
      <c r="A705">
        <v>3216</v>
      </c>
      <c r="B705" t="str">
        <f>IF(F705=2020,INDEX(SOC2020_Structure!E:E,MATCH(sectorLookup!A705,SOC2020_Structure!D:D,0)),INDEX(SOC2010_Structure!E:E,MATCH(sectorLookup!A705,SOC2010_Structure!D:D,0)))</f>
        <v>Dispensing opticians</v>
      </c>
      <c r="C705" t="s">
        <v>684</v>
      </c>
      <c r="D705" t="str">
        <f>INDEX('group info'!B:B,MATCH(sectorLookup!C705,'group info'!A:A,0))</f>
        <v>STEM plus medicine and health and other</v>
      </c>
      <c r="E705" t="s">
        <v>322</v>
      </c>
      <c r="F705">
        <v>2010</v>
      </c>
      <c r="G705" t="str">
        <f t="shared" si="10"/>
        <v>STEM plus medicine and health and other SOC2010</v>
      </c>
    </row>
    <row r="706" spans="1:7" x14ac:dyDescent="0.35">
      <c r="A706">
        <v>3217</v>
      </c>
      <c r="B706" t="str">
        <f>IF(F706=2020,INDEX(SOC2020_Structure!E:E,MATCH(sectorLookup!A706,SOC2020_Structure!D:D,0)),INDEX(SOC2010_Structure!E:E,MATCH(sectorLookup!A706,SOC2010_Structure!D:D,0)))</f>
        <v>Pharmaceutical technicians</v>
      </c>
      <c r="C706" t="s">
        <v>684</v>
      </c>
      <c r="D706" t="str">
        <f>INDEX('group info'!B:B,MATCH(sectorLookup!C706,'group info'!A:A,0))</f>
        <v>STEM plus medicine and health and other</v>
      </c>
      <c r="E706" t="s">
        <v>322</v>
      </c>
      <c r="F706">
        <v>2010</v>
      </c>
      <c r="G706" t="str">
        <f t="shared" si="10"/>
        <v>STEM plus medicine and health and other SOC2010</v>
      </c>
    </row>
    <row r="707" spans="1:7" x14ac:dyDescent="0.35">
      <c r="A707">
        <v>3218</v>
      </c>
      <c r="B707" t="str">
        <f>IF(F707=2020,INDEX(SOC2020_Structure!E:E,MATCH(sectorLookup!A707,SOC2020_Structure!D:D,0)),INDEX(SOC2010_Structure!E:E,MATCH(sectorLookup!A707,SOC2010_Structure!D:D,0)))</f>
        <v>Medical and dental technicians</v>
      </c>
      <c r="C707" t="s">
        <v>684</v>
      </c>
      <c r="D707" t="str">
        <f>INDEX('group info'!B:B,MATCH(sectorLookup!C707,'group info'!A:A,0))</f>
        <v>STEM plus medicine and health and other</v>
      </c>
      <c r="E707" t="s">
        <v>322</v>
      </c>
      <c r="F707">
        <v>2010</v>
      </c>
      <c r="G707" t="str">
        <f t="shared" ref="G707:G770" si="11">D707&amp;" SOC"&amp;F707</f>
        <v>STEM plus medicine and health and other SOC2010</v>
      </c>
    </row>
    <row r="708" spans="1:7" x14ac:dyDescent="0.35">
      <c r="A708">
        <v>3219</v>
      </c>
      <c r="B708" t="str">
        <f>IF(F708=2020,INDEX(SOC2020_Structure!E:E,MATCH(sectorLookup!A708,SOC2020_Structure!D:D,0)),INDEX(SOC2010_Structure!E:E,MATCH(sectorLookup!A708,SOC2010_Structure!D:D,0)))</f>
        <v>Health associate professionals n.e.c.</v>
      </c>
      <c r="C708" t="s">
        <v>684</v>
      </c>
      <c r="D708" t="str">
        <f>INDEX('group info'!B:B,MATCH(sectorLookup!C708,'group info'!A:A,0))</f>
        <v>STEM plus medicine and health and other</v>
      </c>
      <c r="E708" t="s">
        <v>322</v>
      </c>
      <c r="F708">
        <v>2010</v>
      </c>
      <c r="G708" t="str">
        <f t="shared" si="11"/>
        <v>STEM plus medicine and health and other SOC2010</v>
      </c>
    </row>
    <row r="709" spans="1:7" x14ac:dyDescent="0.35">
      <c r="A709">
        <v>3311</v>
      </c>
      <c r="B709" t="str">
        <f>IF(F709=2020,INDEX(SOC2020_Structure!E:E,MATCH(sectorLookup!A709,SOC2020_Structure!D:D,0)),INDEX(SOC2010_Structure!E:E,MATCH(sectorLookup!A709,SOC2010_Structure!D:D,0)))</f>
        <v>NCOs and other ranks</v>
      </c>
      <c r="C709" t="s">
        <v>684</v>
      </c>
      <c r="D709" t="str">
        <f>INDEX('group info'!B:B,MATCH(sectorLookup!C709,'group info'!A:A,0))</f>
        <v>STEM plus medicine and health and other</v>
      </c>
      <c r="E709" t="s">
        <v>322</v>
      </c>
      <c r="F709">
        <v>2010</v>
      </c>
      <c r="G709" t="str">
        <f t="shared" si="11"/>
        <v>STEM plus medicine and health and other SOC2010</v>
      </c>
    </row>
    <row r="710" spans="1:7" x14ac:dyDescent="0.35">
      <c r="A710">
        <v>3313</v>
      </c>
      <c r="B710" t="str">
        <f>IF(F710=2020,INDEX(SOC2020_Structure!E:E,MATCH(sectorLookup!A710,SOC2020_Structure!D:D,0)),INDEX(SOC2010_Structure!E:E,MATCH(sectorLookup!A710,SOC2010_Structure!D:D,0)))</f>
        <v>Fire service officers (watch manager and below)</v>
      </c>
      <c r="C710" t="s">
        <v>684</v>
      </c>
      <c r="D710" t="str">
        <f>INDEX('group info'!B:B,MATCH(sectorLookup!C710,'group info'!A:A,0))</f>
        <v>STEM plus medicine and health and other</v>
      </c>
      <c r="E710" t="s">
        <v>322</v>
      </c>
      <c r="F710">
        <v>2010</v>
      </c>
      <c r="G710" t="str">
        <f t="shared" si="11"/>
        <v>STEM plus medicine and health and other SOC2010</v>
      </c>
    </row>
    <row r="711" spans="1:7" x14ac:dyDescent="0.35">
      <c r="A711">
        <v>3417</v>
      </c>
      <c r="B711" t="str">
        <f>IF(F711=2020,INDEX(SOC2020_Structure!E:E,MATCH(sectorLookup!A711,SOC2020_Structure!D:D,0)),INDEX(SOC2010_Structure!E:E,MATCH(sectorLookup!A711,SOC2010_Structure!D:D,0)))</f>
        <v>Photographers, audio-visual and broadcasting equipment operators</v>
      </c>
      <c r="C711" t="s">
        <v>684</v>
      </c>
      <c r="D711" t="str">
        <f>INDEX('group info'!B:B,MATCH(sectorLookup!C711,'group info'!A:A,0))</f>
        <v>STEM plus medicine and health and other</v>
      </c>
      <c r="E711" t="s">
        <v>322</v>
      </c>
      <c r="F711">
        <v>2010</v>
      </c>
      <c r="G711" t="str">
        <f t="shared" si="11"/>
        <v>STEM plus medicine and health and other SOC2010</v>
      </c>
    </row>
    <row r="712" spans="1:7" x14ac:dyDescent="0.35">
      <c r="A712">
        <v>3421</v>
      </c>
      <c r="B712" t="str">
        <f>IF(F712=2020,INDEX(SOC2020_Structure!E:E,MATCH(sectorLookup!A712,SOC2020_Structure!D:D,0)),INDEX(SOC2010_Structure!E:E,MATCH(sectorLookup!A712,SOC2010_Structure!D:D,0)))</f>
        <v>Graphic designers</v>
      </c>
      <c r="C712" t="s">
        <v>684</v>
      </c>
      <c r="D712" t="str">
        <f>INDEX('group info'!B:B,MATCH(sectorLookup!C712,'group info'!A:A,0))</f>
        <v>STEM plus medicine and health and other</v>
      </c>
      <c r="E712" t="s">
        <v>322</v>
      </c>
      <c r="F712">
        <v>2010</v>
      </c>
      <c r="G712" t="str">
        <f t="shared" si="11"/>
        <v>STEM plus medicine and health and other SOC2010</v>
      </c>
    </row>
    <row r="713" spans="1:7" x14ac:dyDescent="0.35">
      <c r="A713">
        <v>3443</v>
      </c>
      <c r="B713" t="str">
        <f>IF(F713=2020,INDEX(SOC2020_Structure!E:E,MATCH(sectorLookup!A713,SOC2020_Structure!D:D,0)),INDEX(SOC2010_Structure!E:E,MATCH(sectorLookup!A713,SOC2010_Structure!D:D,0)))</f>
        <v>Fitness instructors</v>
      </c>
      <c r="C713" t="s">
        <v>684</v>
      </c>
      <c r="D713" t="str">
        <f>INDEX('group info'!B:B,MATCH(sectorLookup!C713,'group info'!A:A,0))</f>
        <v>STEM plus medicine and health and other</v>
      </c>
      <c r="E713" t="s">
        <v>322</v>
      </c>
      <c r="F713">
        <v>2010</v>
      </c>
      <c r="G713" t="str">
        <f t="shared" si="11"/>
        <v>STEM plus medicine and health and other SOC2010</v>
      </c>
    </row>
    <row r="714" spans="1:7" x14ac:dyDescent="0.35">
      <c r="A714">
        <v>3511</v>
      </c>
      <c r="B714" t="str">
        <f>IF(F714=2020,INDEX(SOC2020_Structure!E:E,MATCH(sectorLookup!A714,SOC2020_Structure!D:D,0)),INDEX(SOC2010_Structure!E:E,MATCH(sectorLookup!A714,SOC2010_Structure!D:D,0)))</f>
        <v>Air traffic controllers</v>
      </c>
      <c r="C714" t="s">
        <v>684</v>
      </c>
      <c r="D714" t="str">
        <f>INDEX('group info'!B:B,MATCH(sectorLookup!C714,'group info'!A:A,0))</f>
        <v>STEM plus medicine and health and other</v>
      </c>
      <c r="E714" t="s">
        <v>322</v>
      </c>
      <c r="F714">
        <v>2010</v>
      </c>
      <c r="G714" t="str">
        <f t="shared" si="11"/>
        <v>STEM plus medicine and health and other SOC2010</v>
      </c>
    </row>
    <row r="715" spans="1:7" x14ac:dyDescent="0.35">
      <c r="A715">
        <v>3512</v>
      </c>
      <c r="B715" t="str">
        <f>IF(F715=2020,INDEX(SOC2020_Structure!E:E,MATCH(sectorLookup!A715,SOC2020_Structure!D:D,0)),INDEX(SOC2010_Structure!E:E,MATCH(sectorLookup!A715,SOC2010_Structure!D:D,0)))</f>
        <v>Aircraft pilots and flight engineers</v>
      </c>
      <c r="C715" t="s">
        <v>684</v>
      </c>
      <c r="D715" t="str">
        <f>INDEX('group info'!B:B,MATCH(sectorLookup!C715,'group info'!A:A,0))</f>
        <v>STEM plus medicine and health and other</v>
      </c>
      <c r="E715" t="s">
        <v>322</v>
      </c>
      <c r="F715">
        <v>2010</v>
      </c>
      <c r="G715" t="str">
        <f t="shared" si="11"/>
        <v>STEM plus medicine and health and other SOC2010</v>
      </c>
    </row>
    <row r="716" spans="1:7" x14ac:dyDescent="0.35">
      <c r="A716">
        <v>3513</v>
      </c>
      <c r="B716" t="str">
        <f>IF(F716=2020,INDEX(SOC2020_Structure!E:E,MATCH(sectorLookup!A716,SOC2020_Structure!D:D,0)),INDEX(SOC2010_Structure!E:E,MATCH(sectorLookup!A716,SOC2010_Structure!D:D,0)))</f>
        <v>Ship and hovercraft officers</v>
      </c>
      <c r="C716" t="s">
        <v>684</v>
      </c>
      <c r="D716" t="str">
        <f>INDEX('group info'!B:B,MATCH(sectorLookup!C716,'group info'!A:A,0))</f>
        <v>STEM plus medicine and health and other</v>
      </c>
      <c r="E716" t="s">
        <v>322</v>
      </c>
      <c r="F716">
        <v>2010</v>
      </c>
      <c r="G716" t="str">
        <f t="shared" si="11"/>
        <v>STEM plus medicine and health and other SOC2010</v>
      </c>
    </row>
    <row r="717" spans="1:7" x14ac:dyDescent="0.35">
      <c r="A717">
        <v>3531</v>
      </c>
      <c r="B717" t="str">
        <f>IF(F717=2020,INDEX(SOC2020_Structure!E:E,MATCH(sectorLookup!A717,SOC2020_Structure!D:D,0)),INDEX(SOC2010_Structure!E:E,MATCH(sectorLookup!A717,SOC2010_Structure!D:D,0)))</f>
        <v>Estimators, valuers and assessors</v>
      </c>
      <c r="C717" t="s">
        <v>684</v>
      </c>
      <c r="D717" t="str">
        <f>INDEX('group info'!B:B,MATCH(sectorLookup!C717,'group info'!A:A,0))</f>
        <v>STEM plus medicine and health and other</v>
      </c>
      <c r="E717" t="s">
        <v>322</v>
      </c>
      <c r="F717">
        <v>2010</v>
      </c>
      <c r="G717" t="str">
        <f t="shared" si="11"/>
        <v>STEM plus medicine and health and other SOC2010</v>
      </c>
    </row>
    <row r="718" spans="1:7" x14ac:dyDescent="0.35">
      <c r="A718">
        <v>3532</v>
      </c>
      <c r="B718" t="str">
        <f>IF(F718=2020,INDEX(SOC2020_Structure!E:E,MATCH(sectorLookup!A718,SOC2020_Structure!D:D,0)),INDEX(SOC2010_Structure!E:E,MATCH(sectorLookup!A718,SOC2010_Structure!D:D,0)))</f>
        <v>Brokers</v>
      </c>
      <c r="C718" t="s">
        <v>684</v>
      </c>
      <c r="D718" t="str">
        <f>INDEX('group info'!B:B,MATCH(sectorLookup!C718,'group info'!A:A,0))</f>
        <v>STEM plus medicine and health and other</v>
      </c>
      <c r="E718" t="s">
        <v>322</v>
      </c>
      <c r="F718">
        <v>2010</v>
      </c>
      <c r="G718" t="str">
        <f t="shared" si="11"/>
        <v>STEM plus medicine and health and other SOC2010</v>
      </c>
    </row>
    <row r="719" spans="1:7" x14ac:dyDescent="0.35">
      <c r="A719">
        <v>3533</v>
      </c>
      <c r="B719" t="str">
        <f>IF(F719=2020,INDEX(SOC2020_Structure!E:E,MATCH(sectorLookup!A719,SOC2020_Structure!D:D,0)),INDEX(SOC2010_Structure!E:E,MATCH(sectorLookup!A719,SOC2010_Structure!D:D,0)))</f>
        <v>Insurance underwriters</v>
      </c>
      <c r="C719" t="s">
        <v>684</v>
      </c>
      <c r="D719" t="str">
        <f>INDEX('group info'!B:B,MATCH(sectorLookup!C719,'group info'!A:A,0))</f>
        <v>STEM plus medicine and health and other</v>
      </c>
      <c r="E719" t="s">
        <v>322</v>
      </c>
      <c r="F719">
        <v>2010</v>
      </c>
      <c r="G719" t="str">
        <f t="shared" si="11"/>
        <v>STEM plus medicine and health and other SOC2010</v>
      </c>
    </row>
    <row r="720" spans="1:7" x14ac:dyDescent="0.35">
      <c r="A720">
        <v>3534</v>
      </c>
      <c r="B720" t="str">
        <f>IF(F720=2020,INDEX(SOC2020_Structure!E:E,MATCH(sectorLookup!A720,SOC2020_Structure!D:D,0)),INDEX(SOC2010_Structure!E:E,MATCH(sectorLookup!A720,SOC2010_Structure!D:D,0)))</f>
        <v>Finance and investment analysts and advisers</v>
      </c>
      <c r="C720" t="s">
        <v>684</v>
      </c>
      <c r="D720" t="str">
        <f>INDEX('group info'!B:B,MATCH(sectorLookup!C720,'group info'!A:A,0))</f>
        <v>STEM plus medicine and health and other</v>
      </c>
      <c r="E720" t="s">
        <v>322</v>
      </c>
      <c r="F720">
        <v>2010</v>
      </c>
      <c r="G720" t="str">
        <f t="shared" si="11"/>
        <v>STEM plus medicine and health and other SOC2010</v>
      </c>
    </row>
    <row r="721" spans="1:7" x14ac:dyDescent="0.35">
      <c r="A721">
        <v>3535</v>
      </c>
      <c r="B721" t="str">
        <f>IF(F721=2020,INDEX(SOC2020_Structure!E:E,MATCH(sectorLookup!A721,SOC2020_Structure!D:D,0)),INDEX(SOC2010_Structure!E:E,MATCH(sectorLookup!A721,SOC2010_Structure!D:D,0)))</f>
        <v>Taxation experts</v>
      </c>
      <c r="C721" t="s">
        <v>684</v>
      </c>
      <c r="D721" t="str">
        <f>INDEX('group info'!B:B,MATCH(sectorLookup!C721,'group info'!A:A,0))</f>
        <v>STEM plus medicine and health and other</v>
      </c>
      <c r="E721" t="s">
        <v>322</v>
      </c>
      <c r="F721">
        <v>2010</v>
      </c>
      <c r="G721" t="str">
        <f t="shared" si="11"/>
        <v>STEM plus medicine and health and other SOC2010</v>
      </c>
    </row>
    <row r="722" spans="1:7" x14ac:dyDescent="0.35">
      <c r="A722">
        <v>3537</v>
      </c>
      <c r="B722" t="str">
        <f>IF(F722=2020,INDEX(SOC2020_Structure!E:E,MATCH(sectorLookup!A722,SOC2020_Structure!D:D,0)),INDEX(SOC2010_Structure!E:E,MATCH(sectorLookup!A722,SOC2010_Structure!D:D,0)))</f>
        <v>Financial and accounting technicians</v>
      </c>
      <c r="C722" t="s">
        <v>684</v>
      </c>
      <c r="D722" t="str">
        <f>INDEX('group info'!B:B,MATCH(sectorLookup!C722,'group info'!A:A,0))</f>
        <v>STEM plus medicine and health and other</v>
      </c>
      <c r="E722" t="s">
        <v>322</v>
      </c>
      <c r="F722">
        <v>2010</v>
      </c>
      <c r="G722" t="str">
        <f t="shared" si="11"/>
        <v>STEM plus medicine and health and other SOC2010</v>
      </c>
    </row>
    <row r="723" spans="1:7" x14ac:dyDescent="0.35">
      <c r="A723">
        <v>3565</v>
      </c>
      <c r="B723" t="str">
        <f>IF(F723=2020,INDEX(SOC2020_Structure!E:E,MATCH(sectorLookup!A723,SOC2020_Structure!D:D,0)),INDEX(SOC2010_Structure!E:E,MATCH(sectorLookup!A723,SOC2010_Structure!D:D,0)))</f>
        <v>Inspectors of standards and regulations</v>
      </c>
      <c r="C723" t="s">
        <v>684</v>
      </c>
      <c r="D723" t="str">
        <f>INDEX('group info'!B:B,MATCH(sectorLookup!C723,'group info'!A:A,0))</f>
        <v>STEM plus medicine and health and other</v>
      </c>
      <c r="E723" t="s">
        <v>322</v>
      </c>
      <c r="F723">
        <v>2010</v>
      </c>
      <c r="G723" t="str">
        <f t="shared" si="11"/>
        <v>STEM plus medicine and health and other SOC2010</v>
      </c>
    </row>
    <row r="724" spans="1:7" x14ac:dyDescent="0.35">
      <c r="A724">
        <v>3567</v>
      </c>
      <c r="B724" t="str">
        <f>IF(F724=2020,INDEX(SOC2020_Structure!E:E,MATCH(sectorLookup!A724,SOC2020_Structure!D:D,0)),INDEX(SOC2010_Structure!E:E,MATCH(sectorLookup!A724,SOC2010_Structure!D:D,0)))</f>
        <v>Health and safety officers</v>
      </c>
      <c r="C724" t="s">
        <v>684</v>
      </c>
      <c r="D724" t="str">
        <f>INDEX('group info'!B:B,MATCH(sectorLookup!C724,'group info'!A:A,0))</f>
        <v>STEM plus medicine and health and other</v>
      </c>
      <c r="E724" t="s">
        <v>322</v>
      </c>
      <c r="F724">
        <v>2010</v>
      </c>
      <c r="G724" t="str">
        <f t="shared" si="11"/>
        <v>STEM plus medicine and health and other SOC2010</v>
      </c>
    </row>
    <row r="725" spans="1:7" x14ac:dyDescent="0.35">
      <c r="A725">
        <v>4121</v>
      </c>
      <c r="B725" t="str">
        <f>IF(F725=2020,INDEX(SOC2020_Structure!E:E,MATCH(sectorLookup!A725,SOC2020_Structure!D:D,0)),INDEX(SOC2010_Structure!E:E,MATCH(sectorLookup!A725,SOC2010_Structure!D:D,0)))</f>
        <v>Credit controllers</v>
      </c>
      <c r="C725" t="s">
        <v>684</v>
      </c>
      <c r="D725" t="str">
        <f>INDEX('group info'!B:B,MATCH(sectorLookup!C725,'group info'!A:A,0))</f>
        <v>STEM plus medicine and health and other</v>
      </c>
      <c r="E725" t="s">
        <v>322</v>
      </c>
      <c r="F725">
        <v>2010</v>
      </c>
      <c r="G725" t="str">
        <f t="shared" si="11"/>
        <v>STEM plus medicine and health and other SOC2010</v>
      </c>
    </row>
    <row r="726" spans="1:7" x14ac:dyDescent="0.35">
      <c r="A726">
        <v>4122</v>
      </c>
      <c r="B726" t="str">
        <f>IF(F726=2020,INDEX(SOC2020_Structure!E:E,MATCH(sectorLookup!A726,SOC2020_Structure!D:D,0)),INDEX(SOC2010_Structure!E:E,MATCH(sectorLookup!A726,SOC2010_Structure!D:D,0)))</f>
        <v>Book-keepers, payroll managers and wages clerks</v>
      </c>
      <c r="C726" t="s">
        <v>684</v>
      </c>
      <c r="D726" t="str">
        <f>INDEX('group info'!B:B,MATCH(sectorLookup!C726,'group info'!A:A,0))</f>
        <v>STEM plus medicine and health and other</v>
      </c>
      <c r="E726" t="s">
        <v>322</v>
      </c>
      <c r="F726">
        <v>2010</v>
      </c>
      <c r="G726" t="str">
        <f t="shared" si="11"/>
        <v>STEM plus medicine and health and other SOC2010</v>
      </c>
    </row>
    <row r="727" spans="1:7" x14ac:dyDescent="0.35">
      <c r="A727">
        <v>4124</v>
      </c>
      <c r="B727" t="str">
        <f>IF(F727=2020,INDEX(SOC2020_Structure!E:E,MATCH(sectorLookup!A727,SOC2020_Structure!D:D,0)),INDEX(SOC2010_Structure!E:E,MATCH(sectorLookup!A727,SOC2010_Structure!D:D,0)))</f>
        <v>Finance officers</v>
      </c>
      <c r="C727" t="s">
        <v>684</v>
      </c>
      <c r="D727" t="str">
        <f>INDEX('group info'!B:B,MATCH(sectorLookup!C727,'group info'!A:A,0))</f>
        <v>STEM plus medicine and health and other</v>
      </c>
      <c r="E727" t="s">
        <v>322</v>
      </c>
      <c r="F727">
        <v>2010</v>
      </c>
      <c r="G727" t="str">
        <f t="shared" si="11"/>
        <v>STEM plus medicine and health and other SOC2010</v>
      </c>
    </row>
    <row r="728" spans="1:7" x14ac:dyDescent="0.35">
      <c r="A728">
        <v>4129</v>
      </c>
      <c r="B728" t="str">
        <f>IF(F728=2020,INDEX(SOC2020_Structure!E:E,MATCH(sectorLookup!A728,SOC2020_Structure!D:D,0)),INDEX(SOC2010_Structure!E:E,MATCH(sectorLookup!A728,SOC2010_Structure!D:D,0)))</f>
        <v>Financial administrative occupations n.e.c.</v>
      </c>
      <c r="C728" t="s">
        <v>684</v>
      </c>
      <c r="D728" t="str">
        <f>INDEX('group info'!B:B,MATCH(sectorLookup!C728,'group info'!A:A,0))</f>
        <v>STEM plus medicine and health and other</v>
      </c>
      <c r="E728" t="s">
        <v>322</v>
      </c>
      <c r="F728">
        <v>2010</v>
      </c>
      <c r="G728" t="str">
        <f t="shared" si="11"/>
        <v>STEM plus medicine and health and other SOC2010</v>
      </c>
    </row>
    <row r="729" spans="1:7" x14ac:dyDescent="0.35">
      <c r="A729">
        <v>5211</v>
      </c>
      <c r="B729" t="str">
        <f>IF(F729=2020,INDEX(SOC2020_Structure!E:E,MATCH(sectorLookup!A729,SOC2020_Structure!D:D,0)),INDEX(SOC2010_Structure!E:E,MATCH(sectorLookup!A729,SOC2010_Structure!D:D,0)))</f>
        <v>Smiths and forge workers</v>
      </c>
      <c r="C729" t="s">
        <v>684</v>
      </c>
      <c r="D729" t="str">
        <f>INDEX('group info'!B:B,MATCH(sectorLookup!C729,'group info'!A:A,0))</f>
        <v>STEM plus medicine and health and other</v>
      </c>
      <c r="E729" t="s">
        <v>322</v>
      </c>
      <c r="F729">
        <v>2010</v>
      </c>
      <c r="G729" t="str">
        <f t="shared" si="11"/>
        <v>STEM plus medicine and health and other SOC2010</v>
      </c>
    </row>
    <row r="730" spans="1:7" x14ac:dyDescent="0.35">
      <c r="A730">
        <v>5212</v>
      </c>
      <c r="B730" t="str">
        <f>IF(F730=2020,INDEX(SOC2020_Structure!E:E,MATCH(sectorLookup!A730,SOC2020_Structure!D:D,0)),INDEX(SOC2010_Structure!E:E,MATCH(sectorLookup!A730,SOC2010_Structure!D:D,0)))</f>
        <v>Moulders, core makers and die casters</v>
      </c>
      <c r="C730" t="s">
        <v>684</v>
      </c>
      <c r="D730" t="str">
        <f>INDEX('group info'!B:B,MATCH(sectorLookup!C730,'group info'!A:A,0))</f>
        <v>STEM plus medicine and health and other</v>
      </c>
      <c r="E730" t="s">
        <v>322</v>
      </c>
      <c r="F730">
        <v>2010</v>
      </c>
      <c r="G730" t="str">
        <f t="shared" si="11"/>
        <v>STEM plus medicine and health and other SOC2010</v>
      </c>
    </row>
    <row r="731" spans="1:7" x14ac:dyDescent="0.35">
      <c r="A731">
        <v>5213</v>
      </c>
      <c r="B731" t="str">
        <f>IF(F731=2020,INDEX(SOC2020_Structure!E:E,MATCH(sectorLookup!A731,SOC2020_Structure!D:D,0)),INDEX(SOC2010_Structure!E:E,MATCH(sectorLookup!A731,SOC2010_Structure!D:D,0)))</f>
        <v>Sheet metal workers</v>
      </c>
      <c r="C731" t="s">
        <v>684</v>
      </c>
      <c r="D731" t="str">
        <f>INDEX('group info'!B:B,MATCH(sectorLookup!C731,'group info'!A:A,0))</f>
        <v>STEM plus medicine and health and other</v>
      </c>
      <c r="E731" t="s">
        <v>322</v>
      </c>
      <c r="F731">
        <v>2010</v>
      </c>
      <c r="G731" t="str">
        <f t="shared" si="11"/>
        <v>STEM plus medicine and health and other SOC2010</v>
      </c>
    </row>
    <row r="732" spans="1:7" x14ac:dyDescent="0.35">
      <c r="A732">
        <v>5214</v>
      </c>
      <c r="B732" t="str">
        <f>IF(F732=2020,INDEX(SOC2020_Structure!E:E,MATCH(sectorLookup!A732,SOC2020_Structure!D:D,0)),INDEX(SOC2010_Structure!E:E,MATCH(sectorLookup!A732,SOC2010_Structure!D:D,0)))</f>
        <v>Metal plate workers, and riveters</v>
      </c>
      <c r="C732" t="s">
        <v>684</v>
      </c>
      <c r="D732" t="str">
        <f>INDEX('group info'!B:B,MATCH(sectorLookup!C732,'group info'!A:A,0))</f>
        <v>STEM plus medicine and health and other</v>
      </c>
      <c r="E732" t="s">
        <v>322</v>
      </c>
      <c r="F732">
        <v>2010</v>
      </c>
      <c r="G732" t="str">
        <f t="shared" si="11"/>
        <v>STEM plus medicine and health and other SOC2010</v>
      </c>
    </row>
    <row r="733" spans="1:7" x14ac:dyDescent="0.35">
      <c r="A733">
        <v>5215</v>
      </c>
      <c r="B733" t="str">
        <f>IF(F733=2020,INDEX(SOC2020_Structure!E:E,MATCH(sectorLookup!A733,SOC2020_Structure!D:D,0)),INDEX(SOC2010_Structure!E:E,MATCH(sectorLookup!A733,SOC2010_Structure!D:D,0)))</f>
        <v>Welding trades</v>
      </c>
      <c r="C733" t="s">
        <v>684</v>
      </c>
      <c r="D733" t="str">
        <f>INDEX('group info'!B:B,MATCH(sectorLookup!C733,'group info'!A:A,0))</f>
        <v>STEM plus medicine and health and other</v>
      </c>
      <c r="E733" t="s">
        <v>322</v>
      </c>
      <c r="F733">
        <v>2010</v>
      </c>
      <c r="G733" t="str">
        <f t="shared" si="11"/>
        <v>STEM plus medicine and health and other SOC2010</v>
      </c>
    </row>
    <row r="734" spans="1:7" x14ac:dyDescent="0.35">
      <c r="A734">
        <v>5216</v>
      </c>
      <c r="B734" t="str">
        <f>IF(F734=2020,INDEX(SOC2020_Structure!E:E,MATCH(sectorLookup!A734,SOC2020_Structure!D:D,0)),INDEX(SOC2010_Structure!E:E,MATCH(sectorLookup!A734,SOC2010_Structure!D:D,0)))</f>
        <v>Pipe fitters</v>
      </c>
      <c r="C734" t="s">
        <v>684</v>
      </c>
      <c r="D734" t="str">
        <f>INDEX('group info'!B:B,MATCH(sectorLookup!C734,'group info'!A:A,0))</f>
        <v>STEM plus medicine and health and other</v>
      </c>
      <c r="E734" t="s">
        <v>322</v>
      </c>
      <c r="F734">
        <v>2010</v>
      </c>
      <c r="G734" t="str">
        <f t="shared" si="11"/>
        <v>STEM plus medicine and health and other SOC2010</v>
      </c>
    </row>
    <row r="735" spans="1:7" x14ac:dyDescent="0.35">
      <c r="A735">
        <v>5221</v>
      </c>
      <c r="B735" t="str">
        <f>IF(F735=2020,INDEX(SOC2020_Structure!E:E,MATCH(sectorLookup!A735,SOC2020_Structure!D:D,0)),INDEX(SOC2010_Structure!E:E,MATCH(sectorLookup!A735,SOC2010_Structure!D:D,0)))</f>
        <v>Metal machining setters and setter-operators</v>
      </c>
      <c r="C735" t="s">
        <v>684</v>
      </c>
      <c r="D735" t="str">
        <f>INDEX('group info'!B:B,MATCH(sectorLookup!C735,'group info'!A:A,0))</f>
        <v>STEM plus medicine and health and other</v>
      </c>
      <c r="E735" t="s">
        <v>322</v>
      </c>
      <c r="F735">
        <v>2010</v>
      </c>
      <c r="G735" t="str">
        <f t="shared" si="11"/>
        <v>STEM plus medicine and health and other SOC2010</v>
      </c>
    </row>
    <row r="736" spans="1:7" x14ac:dyDescent="0.35">
      <c r="A736">
        <v>5222</v>
      </c>
      <c r="B736" t="str">
        <f>IF(F736=2020,INDEX(SOC2020_Structure!E:E,MATCH(sectorLookup!A736,SOC2020_Structure!D:D,0)),INDEX(SOC2010_Structure!E:E,MATCH(sectorLookup!A736,SOC2010_Structure!D:D,0)))</f>
        <v>Tool makers, tool fitters and markers-out</v>
      </c>
      <c r="C736" t="s">
        <v>684</v>
      </c>
      <c r="D736" t="str">
        <f>INDEX('group info'!B:B,MATCH(sectorLookup!C736,'group info'!A:A,0))</f>
        <v>STEM plus medicine and health and other</v>
      </c>
      <c r="E736" t="s">
        <v>322</v>
      </c>
      <c r="F736">
        <v>2010</v>
      </c>
      <c r="G736" t="str">
        <f t="shared" si="11"/>
        <v>STEM plus medicine and health and other SOC2010</v>
      </c>
    </row>
    <row r="737" spans="1:7" x14ac:dyDescent="0.35">
      <c r="A737">
        <v>5223</v>
      </c>
      <c r="B737" t="str">
        <f>IF(F737=2020,INDEX(SOC2020_Structure!E:E,MATCH(sectorLookup!A737,SOC2020_Structure!D:D,0)),INDEX(SOC2010_Structure!E:E,MATCH(sectorLookup!A737,SOC2010_Structure!D:D,0)))</f>
        <v>Metal working production and maintenance fitters</v>
      </c>
      <c r="C737" t="s">
        <v>684</v>
      </c>
      <c r="D737" t="str">
        <f>INDEX('group info'!B:B,MATCH(sectorLookup!C737,'group info'!A:A,0))</f>
        <v>STEM plus medicine and health and other</v>
      </c>
      <c r="E737" t="s">
        <v>322</v>
      </c>
      <c r="F737">
        <v>2010</v>
      </c>
      <c r="G737" t="str">
        <f t="shared" si="11"/>
        <v>STEM plus medicine and health and other SOC2010</v>
      </c>
    </row>
    <row r="738" spans="1:7" x14ac:dyDescent="0.35">
      <c r="A738">
        <v>5224</v>
      </c>
      <c r="B738" t="str">
        <f>IF(F738=2020,INDEX(SOC2020_Structure!E:E,MATCH(sectorLookup!A738,SOC2020_Structure!D:D,0)),INDEX(SOC2010_Structure!E:E,MATCH(sectorLookup!A738,SOC2010_Structure!D:D,0)))</f>
        <v>Precision instrument makers and repairers</v>
      </c>
      <c r="C738" t="s">
        <v>684</v>
      </c>
      <c r="D738" t="str">
        <f>INDEX('group info'!B:B,MATCH(sectorLookup!C738,'group info'!A:A,0))</f>
        <v>STEM plus medicine and health and other</v>
      </c>
      <c r="E738" t="s">
        <v>322</v>
      </c>
      <c r="F738">
        <v>2010</v>
      </c>
      <c r="G738" t="str">
        <f t="shared" si="11"/>
        <v>STEM plus medicine and health and other SOC2010</v>
      </c>
    </row>
    <row r="739" spans="1:7" x14ac:dyDescent="0.35">
      <c r="A739">
        <v>5225</v>
      </c>
      <c r="B739" t="str">
        <f>IF(F739=2020,INDEX(SOC2020_Structure!E:E,MATCH(sectorLookup!A739,SOC2020_Structure!D:D,0)),INDEX(SOC2010_Structure!E:E,MATCH(sectorLookup!A739,SOC2010_Structure!D:D,0)))</f>
        <v>Air-conditioning and refrigeration engineers</v>
      </c>
      <c r="C739" t="s">
        <v>684</v>
      </c>
      <c r="D739" t="str">
        <f>INDEX('group info'!B:B,MATCH(sectorLookup!C739,'group info'!A:A,0))</f>
        <v>STEM plus medicine and health and other</v>
      </c>
      <c r="E739" t="s">
        <v>322</v>
      </c>
      <c r="F739">
        <v>2010</v>
      </c>
      <c r="G739" t="str">
        <f t="shared" si="11"/>
        <v>STEM plus medicine and health and other SOC2010</v>
      </c>
    </row>
    <row r="740" spans="1:7" x14ac:dyDescent="0.35">
      <c r="A740">
        <v>5231</v>
      </c>
      <c r="B740" t="str">
        <f>IF(F740=2020,INDEX(SOC2020_Structure!E:E,MATCH(sectorLookup!A740,SOC2020_Structure!D:D,0)),INDEX(SOC2010_Structure!E:E,MATCH(sectorLookup!A740,SOC2010_Structure!D:D,0)))</f>
        <v>Vehicle technicians, mechanics and electricians</v>
      </c>
      <c r="C740" t="s">
        <v>684</v>
      </c>
      <c r="D740" t="str">
        <f>INDEX('group info'!B:B,MATCH(sectorLookup!C740,'group info'!A:A,0))</f>
        <v>STEM plus medicine and health and other</v>
      </c>
      <c r="E740" t="s">
        <v>322</v>
      </c>
      <c r="F740">
        <v>2010</v>
      </c>
      <c r="G740" t="str">
        <f t="shared" si="11"/>
        <v>STEM plus medicine and health and other SOC2010</v>
      </c>
    </row>
    <row r="741" spans="1:7" x14ac:dyDescent="0.35">
      <c r="A741">
        <v>5232</v>
      </c>
      <c r="B741" t="str">
        <f>IF(F741=2020,INDEX(SOC2020_Structure!E:E,MATCH(sectorLookup!A741,SOC2020_Structure!D:D,0)),INDEX(SOC2010_Structure!E:E,MATCH(sectorLookup!A741,SOC2010_Structure!D:D,0)))</f>
        <v xml:space="preserve">Vehicle body builders and repairers </v>
      </c>
      <c r="C741" t="s">
        <v>684</v>
      </c>
      <c r="D741" t="str">
        <f>INDEX('group info'!B:B,MATCH(sectorLookup!C741,'group info'!A:A,0))</f>
        <v>STEM plus medicine and health and other</v>
      </c>
      <c r="E741" t="s">
        <v>322</v>
      </c>
      <c r="F741">
        <v>2010</v>
      </c>
      <c r="G741" t="str">
        <f t="shared" si="11"/>
        <v>STEM plus medicine and health and other SOC2010</v>
      </c>
    </row>
    <row r="742" spans="1:7" x14ac:dyDescent="0.35">
      <c r="A742">
        <v>5234</v>
      </c>
      <c r="B742" t="str">
        <f>IF(F742=2020,INDEX(SOC2020_Structure!E:E,MATCH(sectorLookup!A742,SOC2020_Structure!D:D,0)),INDEX(SOC2010_Structure!E:E,MATCH(sectorLookup!A742,SOC2010_Structure!D:D,0)))</f>
        <v>Vehicle paint technicians</v>
      </c>
      <c r="C742" t="s">
        <v>684</v>
      </c>
      <c r="D742" t="str">
        <f>INDEX('group info'!B:B,MATCH(sectorLookup!C742,'group info'!A:A,0))</f>
        <v>STEM plus medicine and health and other</v>
      </c>
      <c r="E742" t="s">
        <v>322</v>
      </c>
      <c r="F742">
        <v>2010</v>
      </c>
      <c r="G742" t="str">
        <f t="shared" si="11"/>
        <v>STEM plus medicine and health and other SOC2010</v>
      </c>
    </row>
    <row r="743" spans="1:7" x14ac:dyDescent="0.35">
      <c r="A743">
        <v>5235</v>
      </c>
      <c r="B743" t="str">
        <f>IF(F743=2020,INDEX(SOC2020_Structure!E:E,MATCH(sectorLookup!A743,SOC2020_Structure!D:D,0)),INDEX(SOC2010_Structure!E:E,MATCH(sectorLookup!A743,SOC2010_Structure!D:D,0)))</f>
        <v>Aircraft maintenance and related trades</v>
      </c>
      <c r="C743" t="s">
        <v>684</v>
      </c>
      <c r="D743" t="str">
        <f>INDEX('group info'!B:B,MATCH(sectorLookup!C743,'group info'!A:A,0))</f>
        <v>STEM plus medicine and health and other</v>
      </c>
      <c r="E743" t="s">
        <v>322</v>
      </c>
      <c r="F743">
        <v>2010</v>
      </c>
      <c r="G743" t="str">
        <f t="shared" si="11"/>
        <v>STEM plus medicine and health and other SOC2010</v>
      </c>
    </row>
    <row r="744" spans="1:7" x14ac:dyDescent="0.35">
      <c r="A744">
        <v>5236</v>
      </c>
      <c r="B744" t="str">
        <f>IF(F744=2020,INDEX(SOC2020_Structure!E:E,MATCH(sectorLookup!A744,SOC2020_Structure!D:D,0)),INDEX(SOC2010_Structure!E:E,MATCH(sectorLookup!A744,SOC2010_Structure!D:D,0)))</f>
        <v>Boat and ship builders and repairers</v>
      </c>
      <c r="C744" t="s">
        <v>684</v>
      </c>
      <c r="D744" t="str">
        <f>INDEX('group info'!B:B,MATCH(sectorLookup!C744,'group info'!A:A,0))</f>
        <v>STEM plus medicine and health and other</v>
      </c>
      <c r="E744" t="s">
        <v>322</v>
      </c>
      <c r="F744">
        <v>2010</v>
      </c>
      <c r="G744" t="str">
        <f t="shared" si="11"/>
        <v>STEM plus medicine and health and other SOC2010</v>
      </c>
    </row>
    <row r="745" spans="1:7" x14ac:dyDescent="0.35">
      <c r="A745">
        <v>5237</v>
      </c>
      <c r="B745" t="str">
        <f>IF(F745=2020,INDEX(SOC2020_Structure!E:E,MATCH(sectorLookup!A745,SOC2020_Structure!D:D,0)),INDEX(SOC2010_Structure!E:E,MATCH(sectorLookup!A745,SOC2010_Structure!D:D,0)))</f>
        <v>Rail and rolling stock builders and repairers</v>
      </c>
      <c r="C745" t="s">
        <v>684</v>
      </c>
      <c r="D745" t="str">
        <f>INDEX('group info'!B:B,MATCH(sectorLookup!C745,'group info'!A:A,0))</f>
        <v>STEM plus medicine and health and other</v>
      </c>
      <c r="E745" t="s">
        <v>322</v>
      </c>
      <c r="F745">
        <v>2010</v>
      </c>
      <c r="G745" t="str">
        <f t="shared" si="11"/>
        <v>STEM plus medicine and health and other SOC2010</v>
      </c>
    </row>
    <row r="746" spans="1:7" x14ac:dyDescent="0.35">
      <c r="A746">
        <v>5241</v>
      </c>
      <c r="B746" t="str">
        <f>IF(F746=2020,INDEX(SOC2020_Structure!E:E,MATCH(sectorLookup!A746,SOC2020_Structure!D:D,0)),INDEX(SOC2010_Structure!E:E,MATCH(sectorLookup!A746,SOC2010_Structure!D:D,0)))</f>
        <v>Electricians and electrical fitters</v>
      </c>
      <c r="C746" t="s">
        <v>684</v>
      </c>
      <c r="D746" t="str">
        <f>INDEX('group info'!B:B,MATCH(sectorLookup!C746,'group info'!A:A,0))</f>
        <v>STEM plus medicine and health and other</v>
      </c>
      <c r="E746" t="s">
        <v>322</v>
      </c>
      <c r="F746">
        <v>2010</v>
      </c>
      <c r="G746" t="str">
        <f t="shared" si="11"/>
        <v>STEM plus medicine and health and other SOC2010</v>
      </c>
    </row>
    <row r="747" spans="1:7" x14ac:dyDescent="0.35">
      <c r="A747">
        <v>5242</v>
      </c>
      <c r="B747" t="str">
        <f>IF(F747=2020,INDEX(SOC2020_Structure!E:E,MATCH(sectorLookup!A747,SOC2020_Structure!D:D,0)),INDEX(SOC2010_Structure!E:E,MATCH(sectorLookup!A747,SOC2010_Structure!D:D,0)))</f>
        <v>Telecommunications engineers</v>
      </c>
      <c r="C747" t="s">
        <v>684</v>
      </c>
      <c r="D747" t="str">
        <f>INDEX('group info'!B:B,MATCH(sectorLookup!C747,'group info'!A:A,0))</f>
        <v>STEM plus medicine and health and other</v>
      </c>
      <c r="E747" t="s">
        <v>322</v>
      </c>
      <c r="F747">
        <v>2010</v>
      </c>
      <c r="G747" t="str">
        <f t="shared" si="11"/>
        <v>STEM plus medicine and health and other SOC2010</v>
      </c>
    </row>
    <row r="748" spans="1:7" x14ac:dyDescent="0.35">
      <c r="A748">
        <v>5244</v>
      </c>
      <c r="B748" t="str">
        <f>IF(F748=2020,INDEX(SOC2020_Structure!E:E,MATCH(sectorLookup!A748,SOC2020_Structure!D:D,0)),INDEX(SOC2010_Structure!E:E,MATCH(sectorLookup!A748,SOC2010_Structure!D:D,0)))</f>
        <v>TV, video and audio engineers</v>
      </c>
      <c r="C748" t="s">
        <v>684</v>
      </c>
      <c r="D748" t="str">
        <f>INDEX('group info'!B:B,MATCH(sectorLookup!C748,'group info'!A:A,0))</f>
        <v>STEM plus medicine and health and other</v>
      </c>
      <c r="E748" t="s">
        <v>322</v>
      </c>
      <c r="F748">
        <v>2010</v>
      </c>
      <c r="G748" t="str">
        <f t="shared" si="11"/>
        <v>STEM plus medicine and health and other SOC2010</v>
      </c>
    </row>
    <row r="749" spans="1:7" x14ac:dyDescent="0.35">
      <c r="A749">
        <v>5245</v>
      </c>
      <c r="B749" t="str">
        <f>IF(F749=2020,INDEX(SOC2020_Structure!E:E,MATCH(sectorLookup!A749,SOC2020_Structure!D:D,0)),INDEX(SOC2010_Structure!E:E,MATCH(sectorLookup!A749,SOC2010_Structure!D:D,0)))</f>
        <v>IT engineers</v>
      </c>
      <c r="C749" t="s">
        <v>684</v>
      </c>
      <c r="D749" t="str">
        <f>INDEX('group info'!B:B,MATCH(sectorLookup!C749,'group info'!A:A,0))</f>
        <v>STEM plus medicine and health and other</v>
      </c>
      <c r="E749" t="s">
        <v>322</v>
      </c>
      <c r="F749">
        <v>2010</v>
      </c>
      <c r="G749" t="str">
        <f t="shared" si="11"/>
        <v>STEM plus medicine and health and other SOC2010</v>
      </c>
    </row>
    <row r="750" spans="1:7" x14ac:dyDescent="0.35">
      <c r="A750">
        <v>5249</v>
      </c>
      <c r="B750" t="str">
        <f>IF(F750=2020,INDEX(SOC2020_Structure!E:E,MATCH(sectorLookup!A750,SOC2020_Structure!D:D,0)),INDEX(SOC2010_Structure!E:E,MATCH(sectorLookup!A750,SOC2010_Structure!D:D,0)))</f>
        <v>Electrical and electronic trades n.e.c.</v>
      </c>
      <c r="C750" t="s">
        <v>684</v>
      </c>
      <c r="D750" t="str">
        <f>INDEX('group info'!B:B,MATCH(sectorLookup!C750,'group info'!A:A,0))</f>
        <v>STEM plus medicine and health and other</v>
      </c>
      <c r="E750" t="s">
        <v>322</v>
      </c>
      <c r="F750">
        <v>2010</v>
      </c>
      <c r="G750" t="str">
        <f t="shared" si="11"/>
        <v>STEM plus medicine and health and other SOC2010</v>
      </c>
    </row>
    <row r="751" spans="1:7" x14ac:dyDescent="0.35">
      <c r="A751">
        <v>5250</v>
      </c>
      <c r="B751" t="str">
        <f>IF(F751=2020,INDEX(SOC2020_Structure!E:E,MATCH(sectorLookup!A751,SOC2020_Structure!D:D,0)),INDEX(SOC2010_Structure!E:E,MATCH(sectorLookup!A751,SOC2010_Structure!D:D,0)))</f>
        <v>Skilled metal, electrical and electronic trades supervisors</v>
      </c>
      <c r="C751" t="s">
        <v>684</v>
      </c>
      <c r="D751" t="str">
        <f>INDEX('group info'!B:B,MATCH(sectorLookup!C751,'group info'!A:A,0))</f>
        <v>STEM plus medicine and health and other</v>
      </c>
      <c r="E751" t="s">
        <v>322</v>
      </c>
      <c r="F751">
        <v>2010</v>
      </c>
      <c r="G751" t="str">
        <f t="shared" si="11"/>
        <v>STEM plus medicine and health and other SOC2010</v>
      </c>
    </row>
    <row r="752" spans="1:7" x14ac:dyDescent="0.35">
      <c r="A752">
        <v>5311</v>
      </c>
      <c r="B752" t="str">
        <f>IF(F752=2020,INDEX(SOC2020_Structure!E:E,MATCH(sectorLookup!A752,SOC2020_Structure!D:D,0)),INDEX(SOC2010_Structure!E:E,MATCH(sectorLookup!A752,SOC2010_Structure!D:D,0)))</f>
        <v>Steel erectors</v>
      </c>
      <c r="C752" t="s">
        <v>684</v>
      </c>
      <c r="D752" t="str">
        <f>INDEX('group info'!B:B,MATCH(sectorLookup!C752,'group info'!A:A,0))</f>
        <v>STEM plus medicine and health and other</v>
      </c>
      <c r="E752" t="s">
        <v>322</v>
      </c>
      <c r="F752">
        <v>2010</v>
      </c>
      <c r="G752" t="str">
        <f t="shared" si="11"/>
        <v>STEM plus medicine and health and other SOC2010</v>
      </c>
    </row>
    <row r="753" spans="1:7" x14ac:dyDescent="0.35">
      <c r="A753">
        <v>5312</v>
      </c>
      <c r="B753" t="str">
        <f>IF(F753=2020,INDEX(SOC2020_Structure!E:E,MATCH(sectorLookup!A753,SOC2020_Structure!D:D,0)),INDEX(SOC2010_Structure!E:E,MATCH(sectorLookup!A753,SOC2010_Structure!D:D,0)))</f>
        <v>Bricklayers and masons</v>
      </c>
      <c r="C753" t="s">
        <v>684</v>
      </c>
      <c r="D753" t="str">
        <f>INDEX('group info'!B:B,MATCH(sectorLookup!C753,'group info'!A:A,0))</f>
        <v>STEM plus medicine and health and other</v>
      </c>
      <c r="E753" t="s">
        <v>322</v>
      </c>
      <c r="F753">
        <v>2010</v>
      </c>
      <c r="G753" t="str">
        <f t="shared" si="11"/>
        <v>STEM plus medicine and health and other SOC2010</v>
      </c>
    </row>
    <row r="754" spans="1:7" x14ac:dyDescent="0.35">
      <c r="A754">
        <v>5313</v>
      </c>
      <c r="B754" t="str">
        <f>IF(F754=2020,INDEX(SOC2020_Structure!E:E,MATCH(sectorLookup!A754,SOC2020_Structure!D:D,0)),INDEX(SOC2010_Structure!E:E,MATCH(sectorLookup!A754,SOC2010_Structure!D:D,0)))</f>
        <v>Roofers, roof tilers and slaters</v>
      </c>
      <c r="C754" t="s">
        <v>684</v>
      </c>
      <c r="D754" t="str">
        <f>INDEX('group info'!B:B,MATCH(sectorLookup!C754,'group info'!A:A,0))</f>
        <v>STEM plus medicine and health and other</v>
      </c>
      <c r="E754" t="s">
        <v>322</v>
      </c>
      <c r="F754">
        <v>2010</v>
      </c>
      <c r="G754" t="str">
        <f t="shared" si="11"/>
        <v>STEM plus medicine and health and other SOC2010</v>
      </c>
    </row>
    <row r="755" spans="1:7" x14ac:dyDescent="0.35">
      <c r="A755">
        <v>5314</v>
      </c>
      <c r="B755" t="str">
        <f>IF(F755=2020,INDEX(SOC2020_Structure!E:E,MATCH(sectorLookup!A755,SOC2020_Structure!D:D,0)),INDEX(SOC2010_Structure!E:E,MATCH(sectorLookup!A755,SOC2010_Structure!D:D,0)))</f>
        <v>Plumbers and heating and ventilating engineers</v>
      </c>
      <c r="C755" t="s">
        <v>684</v>
      </c>
      <c r="D755" t="str">
        <f>INDEX('group info'!B:B,MATCH(sectorLookup!C755,'group info'!A:A,0))</f>
        <v>STEM plus medicine and health and other</v>
      </c>
      <c r="E755" t="s">
        <v>322</v>
      </c>
      <c r="F755">
        <v>2010</v>
      </c>
      <c r="G755" t="str">
        <f t="shared" si="11"/>
        <v>STEM plus medicine and health and other SOC2010</v>
      </c>
    </row>
    <row r="756" spans="1:7" x14ac:dyDescent="0.35">
      <c r="A756">
        <v>5315</v>
      </c>
      <c r="B756" t="str">
        <f>IF(F756=2020,INDEX(SOC2020_Structure!E:E,MATCH(sectorLookup!A756,SOC2020_Structure!D:D,0)),INDEX(SOC2010_Structure!E:E,MATCH(sectorLookup!A756,SOC2010_Structure!D:D,0)))</f>
        <v>Carpenters and joiners</v>
      </c>
      <c r="C756" t="s">
        <v>684</v>
      </c>
      <c r="D756" t="str">
        <f>INDEX('group info'!B:B,MATCH(sectorLookup!C756,'group info'!A:A,0))</f>
        <v>STEM plus medicine and health and other</v>
      </c>
      <c r="E756" t="s">
        <v>322</v>
      </c>
      <c r="F756">
        <v>2010</v>
      </c>
      <c r="G756" t="str">
        <f t="shared" si="11"/>
        <v>STEM plus medicine and health and other SOC2010</v>
      </c>
    </row>
    <row r="757" spans="1:7" x14ac:dyDescent="0.35">
      <c r="A757">
        <v>5316</v>
      </c>
      <c r="B757" t="str">
        <f>IF(F757=2020,INDEX(SOC2020_Structure!E:E,MATCH(sectorLookup!A757,SOC2020_Structure!D:D,0)),INDEX(SOC2010_Structure!E:E,MATCH(sectorLookup!A757,SOC2010_Structure!D:D,0)))</f>
        <v>Glaziers, window fabricators and fitters</v>
      </c>
      <c r="C757" t="s">
        <v>684</v>
      </c>
      <c r="D757" t="str">
        <f>INDEX('group info'!B:B,MATCH(sectorLookup!C757,'group info'!A:A,0))</f>
        <v>STEM plus medicine and health and other</v>
      </c>
      <c r="E757" t="s">
        <v>322</v>
      </c>
      <c r="F757">
        <v>2010</v>
      </c>
      <c r="G757" t="str">
        <f t="shared" si="11"/>
        <v>STEM plus medicine and health and other SOC2010</v>
      </c>
    </row>
    <row r="758" spans="1:7" x14ac:dyDescent="0.35">
      <c r="A758">
        <v>5319</v>
      </c>
      <c r="B758" t="str">
        <f>IF(F758=2020,INDEX(SOC2020_Structure!E:E,MATCH(sectorLookup!A758,SOC2020_Structure!D:D,0)),INDEX(SOC2010_Structure!E:E,MATCH(sectorLookup!A758,SOC2010_Structure!D:D,0)))</f>
        <v>Construction and building trades n.e.c.</v>
      </c>
      <c r="C758" t="s">
        <v>684</v>
      </c>
      <c r="D758" t="str">
        <f>INDEX('group info'!B:B,MATCH(sectorLookup!C758,'group info'!A:A,0))</f>
        <v>STEM plus medicine and health and other</v>
      </c>
      <c r="E758" t="s">
        <v>322</v>
      </c>
      <c r="F758">
        <v>2010</v>
      </c>
      <c r="G758" t="str">
        <f t="shared" si="11"/>
        <v>STEM plus medicine and health and other SOC2010</v>
      </c>
    </row>
    <row r="759" spans="1:7" x14ac:dyDescent="0.35">
      <c r="A759">
        <v>5330</v>
      </c>
      <c r="B759" t="str">
        <f>IF(F759=2020,INDEX(SOC2020_Structure!E:E,MATCH(sectorLookup!A759,SOC2020_Structure!D:D,0)),INDEX(SOC2010_Structure!E:E,MATCH(sectorLookup!A759,SOC2010_Structure!D:D,0)))</f>
        <v>Construction and building trades supervisors</v>
      </c>
      <c r="C759" t="s">
        <v>684</v>
      </c>
      <c r="D759" t="str">
        <f>INDEX('group info'!B:B,MATCH(sectorLookup!C759,'group info'!A:A,0))</f>
        <v>STEM plus medicine and health and other</v>
      </c>
      <c r="E759" t="s">
        <v>322</v>
      </c>
      <c r="F759">
        <v>2010</v>
      </c>
      <c r="G759" t="str">
        <f t="shared" si="11"/>
        <v>STEM plus medicine and health and other SOC2010</v>
      </c>
    </row>
    <row r="760" spans="1:7" x14ac:dyDescent="0.35">
      <c r="A760">
        <v>5421</v>
      </c>
      <c r="B760" t="str">
        <f>IF(F760=2020,INDEX(SOC2020_Structure!E:E,MATCH(sectorLookup!A760,SOC2020_Structure!D:D,0)),INDEX(SOC2010_Structure!E:E,MATCH(sectorLookup!A760,SOC2010_Structure!D:D,0)))</f>
        <v>Pre-press technicians</v>
      </c>
      <c r="C760" t="s">
        <v>684</v>
      </c>
      <c r="D760" t="str">
        <f>INDEX('group info'!B:B,MATCH(sectorLookup!C760,'group info'!A:A,0))</f>
        <v>STEM plus medicine and health and other</v>
      </c>
      <c r="E760" t="s">
        <v>322</v>
      </c>
      <c r="F760">
        <v>2010</v>
      </c>
      <c r="G760" t="str">
        <f t="shared" si="11"/>
        <v>STEM plus medicine and health and other SOC2010</v>
      </c>
    </row>
    <row r="761" spans="1:7" x14ac:dyDescent="0.35">
      <c r="A761">
        <v>5422</v>
      </c>
      <c r="B761" t="str">
        <f>IF(F761=2020,INDEX(SOC2020_Structure!E:E,MATCH(sectorLookup!A761,SOC2020_Structure!D:D,0)),INDEX(SOC2010_Structure!E:E,MATCH(sectorLookup!A761,SOC2010_Structure!D:D,0)))</f>
        <v>Printers</v>
      </c>
      <c r="C761" t="s">
        <v>684</v>
      </c>
      <c r="D761" t="str">
        <f>INDEX('group info'!B:B,MATCH(sectorLookup!C761,'group info'!A:A,0))</f>
        <v>STEM plus medicine and health and other</v>
      </c>
      <c r="E761" t="s">
        <v>322</v>
      </c>
      <c r="F761">
        <v>2010</v>
      </c>
      <c r="G761" t="str">
        <f t="shared" si="11"/>
        <v>STEM plus medicine and health and other SOC2010</v>
      </c>
    </row>
    <row r="762" spans="1:7" x14ac:dyDescent="0.35">
      <c r="A762">
        <v>6131</v>
      </c>
      <c r="B762" t="str">
        <f>IF(F762=2020,INDEX(SOC2020_Structure!E:E,MATCH(sectorLookup!A762,SOC2020_Structure!D:D,0)),INDEX(SOC2010_Structure!E:E,MATCH(sectorLookup!A762,SOC2010_Structure!D:D,0)))</f>
        <v>Veterinary nurses</v>
      </c>
      <c r="C762" t="s">
        <v>684</v>
      </c>
      <c r="D762" t="str">
        <f>INDEX('group info'!B:B,MATCH(sectorLookup!C762,'group info'!A:A,0))</f>
        <v>STEM plus medicine and health and other</v>
      </c>
      <c r="E762" t="s">
        <v>322</v>
      </c>
      <c r="F762">
        <v>2010</v>
      </c>
      <c r="G762" t="str">
        <f t="shared" si="11"/>
        <v>STEM plus medicine and health and other SOC2010</v>
      </c>
    </row>
    <row r="763" spans="1:7" x14ac:dyDescent="0.35">
      <c r="A763">
        <v>6132</v>
      </c>
      <c r="B763" t="str">
        <f>IF(F763=2020,INDEX(SOC2020_Structure!E:E,MATCH(sectorLookup!A763,SOC2020_Structure!D:D,0)),INDEX(SOC2010_Structure!E:E,MATCH(sectorLookup!A763,SOC2010_Structure!D:D,0)))</f>
        <v>Pest control officers</v>
      </c>
      <c r="C763" t="s">
        <v>684</v>
      </c>
      <c r="D763" t="str">
        <f>INDEX('group info'!B:B,MATCH(sectorLookup!C763,'group info'!A:A,0))</f>
        <v>STEM plus medicine and health and other</v>
      </c>
      <c r="E763" t="s">
        <v>322</v>
      </c>
      <c r="F763">
        <v>2010</v>
      </c>
      <c r="G763" t="str">
        <f t="shared" si="11"/>
        <v>STEM plus medicine and health and other SOC2010</v>
      </c>
    </row>
    <row r="764" spans="1:7" x14ac:dyDescent="0.35">
      <c r="A764">
        <v>6139</v>
      </c>
      <c r="B764" t="str">
        <f>IF(F764=2020,INDEX(SOC2020_Structure!E:E,MATCH(sectorLookup!A764,SOC2020_Structure!D:D,0)),INDEX(SOC2010_Structure!E:E,MATCH(sectorLookup!A764,SOC2010_Structure!D:D,0)))</f>
        <v>Animal care services occupations n.e.c.</v>
      </c>
      <c r="C764" t="s">
        <v>684</v>
      </c>
      <c r="D764" t="str">
        <f>INDEX('group info'!B:B,MATCH(sectorLookup!C764,'group info'!A:A,0))</f>
        <v>STEM plus medicine and health and other</v>
      </c>
      <c r="E764" t="s">
        <v>322</v>
      </c>
      <c r="F764">
        <v>2010</v>
      </c>
      <c r="G764" t="str">
        <f t="shared" si="11"/>
        <v>STEM plus medicine and health and other SOC2010</v>
      </c>
    </row>
    <row r="765" spans="1:7" x14ac:dyDescent="0.35">
      <c r="A765">
        <v>6141</v>
      </c>
      <c r="B765" t="str">
        <f>IF(F765=2020,INDEX(SOC2020_Structure!E:E,MATCH(sectorLookup!A765,SOC2020_Structure!D:D,0)),INDEX(SOC2010_Structure!E:E,MATCH(sectorLookup!A765,SOC2010_Structure!D:D,0)))</f>
        <v>Nursing auxiliaries and assistants</v>
      </c>
      <c r="C765" t="s">
        <v>684</v>
      </c>
      <c r="D765" t="str">
        <f>INDEX('group info'!B:B,MATCH(sectorLookup!C765,'group info'!A:A,0))</f>
        <v>STEM plus medicine and health and other</v>
      </c>
      <c r="E765" t="s">
        <v>322</v>
      </c>
      <c r="F765">
        <v>2010</v>
      </c>
      <c r="G765" t="str">
        <f t="shared" si="11"/>
        <v>STEM plus medicine and health and other SOC2010</v>
      </c>
    </row>
    <row r="766" spans="1:7" x14ac:dyDescent="0.35">
      <c r="A766">
        <v>6142</v>
      </c>
      <c r="B766" t="str">
        <f>IF(F766=2020,INDEX(SOC2020_Structure!E:E,MATCH(sectorLookup!A766,SOC2020_Structure!D:D,0)),INDEX(SOC2010_Structure!E:E,MATCH(sectorLookup!A766,SOC2010_Structure!D:D,0)))</f>
        <v>Ambulance staff (excluding paramedics)</v>
      </c>
      <c r="C766" t="s">
        <v>684</v>
      </c>
      <c r="D766" t="str">
        <f>INDEX('group info'!B:B,MATCH(sectorLookup!C766,'group info'!A:A,0))</f>
        <v>STEM plus medicine and health and other</v>
      </c>
      <c r="E766" t="s">
        <v>322</v>
      </c>
      <c r="F766">
        <v>2010</v>
      </c>
      <c r="G766" t="str">
        <f t="shared" si="11"/>
        <v>STEM plus medicine and health and other SOC2010</v>
      </c>
    </row>
    <row r="767" spans="1:7" x14ac:dyDescent="0.35">
      <c r="A767">
        <v>6143</v>
      </c>
      <c r="B767" t="str">
        <f>IF(F767=2020,INDEX(SOC2020_Structure!E:E,MATCH(sectorLookup!A767,SOC2020_Structure!D:D,0)),INDEX(SOC2010_Structure!E:E,MATCH(sectorLookup!A767,SOC2010_Structure!D:D,0)))</f>
        <v>Dental nurses</v>
      </c>
      <c r="C767" t="s">
        <v>684</v>
      </c>
      <c r="D767" t="str">
        <f>INDEX('group info'!B:B,MATCH(sectorLookup!C767,'group info'!A:A,0))</f>
        <v>STEM plus medicine and health and other</v>
      </c>
      <c r="E767" t="s">
        <v>322</v>
      </c>
      <c r="F767">
        <v>2010</v>
      </c>
      <c r="G767" t="str">
        <f t="shared" si="11"/>
        <v>STEM plus medicine and health and other SOC2010</v>
      </c>
    </row>
    <row r="768" spans="1:7" x14ac:dyDescent="0.35">
      <c r="A768">
        <v>7114</v>
      </c>
      <c r="B768" t="str">
        <f>IF(F768=2020,INDEX(SOC2020_Structure!E:E,MATCH(sectorLookup!A768,SOC2020_Structure!D:D,0)),INDEX(SOC2010_Structure!E:E,MATCH(sectorLookup!A768,SOC2010_Structure!D:D,0)))</f>
        <v>Pharmacy and other dispensing assistants</v>
      </c>
      <c r="C768" t="s">
        <v>684</v>
      </c>
      <c r="D768" t="str">
        <f>INDEX('group info'!B:B,MATCH(sectorLookup!C768,'group info'!A:A,0))</f>
        <v>STEM plus medicine and health and other</v>
      </c>
      <c r="E768" t="s">
        <v>322</v>
      </c>
      <c r="F768">
        <v>2010</v>
      </c>
      <c r="G768" t="str">
        <f t="shared" si="11"/>
        <v>STEM plus medicine and health and other SOC2010</v>
      </c>
    </row>
    <row r="769" spans="1:7" x14ac:dyDescent="0.35">
      <c r="A769">
        <v>8112</v>
      </c>
      <c r="B769" t="str">
        <f>IF(F769=2020,INDEX(SOC2020_Structure!E:E,MATCH(sectorLookup!A769,SOC2020_Structure!D:D,0)),INDEX(SOC2010_Structure!E:E,MATCH(sectorLookup!A769,SOC2010_Structure!D:D,0)))</f>
        <v>Glass and ceramics process operatives</v>
      </c>
      <c r="C769" t="s">
        <v>684</v>
      </c>
      <c r="D769" t="str">
        <f>INDEX('group info'!B:B,MATCH(sectorLookup!C769,'group info'!A:A,0))</f>
        <v>STEM plus medicine and health and other</v>
      </c>
      <c r="E769" t="s">
        <v>322</v>
      </c>
      <c r="F769">
        <v>2010</v>
      </c>
      <c r="G769" t="str">
        <f t="shared" si="11"/>
        <v>STEM plus medicine and health and other SOC2010</v>
      </c>
    </row>
    <row r="770" spans="1:7" x14ac:dyDescent="0.35">
      <c r="A770">
        <v>8114</v>
      </c>
      <c r="B770" t="str">
        <f>IF(F770=2020,INDEX(SOC2020_Structure!E:E,MATCH(sectorLookup!A770,SOC2020_Structure!D:D,0)),INDEX(SOC2010_Structure!E:E,MATCH(sectorLookup!A770,SOC2010_Structure!D:D,0)))</f>
        <v>Chemical and related process operatives</v>
      </c>
      <c r="C770" t="s">
        <v>684</v>
      </c>
      <c r="D770" t="str">
        <f>INDEX('group info'!B:B,MATCH(sectorLookup!C770,'group info'!A:A,0))</f>
        <v>STEM plus medicine and health and other</v>
      </c>
      <c r="E770" t="s">
        <v>322</v>
      </c>
      <c r="F770">
        <v>2010</v>
      </c>
      <c r="G770" t="str">
        <f t="shared" si="11"/>
        <v>STEM plus medicine and health and other SOC2010</v>
      </c>
    </row>
    <row r="771" spans="1:7" x14ac:dyDescent="0.35">
      <c r="A771">
        <v>8115</v>
      </c>
      <c r="B771" t="str">
        <f>IF(F771=2020,INDEX(SOC2020_Structure!E:E,MATCH(sectorLookup!A771,SOC2020_Structure!D:D,0)),INDEX(SOC2010_Structure!E:E,MATCH(sectorLookup!A771,SOC2010_Structure!D:D,0)))</f>
        <v>Rubber process operatives</v>
      </c>
      <c r="C771" t="s">
        <v>684</v>
      </c>
      <c r="D771" t="str">
        <f>INDEX('group info'!B:B,MATCH(sectorLookup!C771,'group info'!A:A,0))</f>
        <v>STEM plus medicine and health and other</v>
      </c>
      <c r="E771" t="s">
        <v>322</v>
      </c>
      <c r="F771">
        <v>2010</v>
      </c>
      <c r="G771" t="str">
        <f t="shared" ref="G771:G834" si="12">D771&amp;" SOC"&amp;F771</f>
        <v>STEM plus medicine and health and other SOC2010</v>
      </c>
    </row>
    <row r="772" spans="1:7" x14ac:dyDescent="0.35">
      <c r="A772">
        <v>8116</v>
      </c>
      <c r="B772" t="str">
        <f>IF(F772=2020,INDEX(SOC2020_Structure!E:E,MATCH(sectorLookup!A772,SOC2020_Structure!D:D,0)),INDEX(SOC2010_Structure!E:E,MATCH(sectorLookup!A772,SOC2010_Structure!D:D,0)))</f>
        <v>Plastics process operatives</v>
      </c>
      <c r="C772" t="s">
        <v>684</v>
      </c>
      <c r="D772" t="str">
        <f>INDEX('group info'!B:B,MATCH(sectorLookup!C772,'group info'!A:A,0))</f>
        <v>STEM plus medicine and health and other</v>
      </c>
      <c r="E772" t="s">
        <v>322</v>
      </c>
      <c r="F772">
        <v>2010</v>
      </c>
      <c r="G772" t="str">
        <f t="shared" si="12"/>
        <v>STEM plus medicine and health and other SOC2010</v>
      </c>
    </row>
    <row r="773" spans="1:7" x14ac:dyDescent="0.35">
      <c r="A773">
        <v>8117</v>
      </c>
      <c r="B773" t="str">
        <f>IF(F773=2020,INDEX(SOC2020_Structure!E:E,MATCH(sectorLookup!A773,SOC2020_Structure!D:D,0)),INDEX(SOC2010_Structure!E:E,MATCH(sectorLookup!A773,SOC2010_Structure!D:D,0)))</f>
        <v>Metal making and treating process operatives</v>
      </c>
      <c r="C773" t="s">
        <v>684</v>
      </c>
      <c r="D773" t="str">
        <f>INDEX('group info'!B:B,MATCH(sectorLookup!C773,'group info'!A:A,0))</f>
        <v>STEM plus medicine and health and other</v>
      </c>
      <c r="E773" t="s">
        <v>322</v>
      </c>
      <c r="F773">
        <v>2010</v>
      </c>
      <c r="G773" t="str">
        <f t="shared" si="12"/>
        <v>STEM plus medicine and health and other SOC2010</v>
      </c>
    </row>
    <row r="774" spans="1:7" x14ac:dyDescent="0.35">
      <c r="A774">
        <v>8118</v>
      </c>
      <c r="B774" t="str">
        <f>IF(F774=2020,INDEX(SOC2020_Structure!E:E,MATCH(sectorLookup!A774,SOC2020_Structure!D:D,0)),INDEX(SOC2010_Structure!E:E,MATCH(sectorLookup!A774,SOC2010_Structure!D:D,0)))</f>
        <v>Electroplaters</v>
      </c>
      <c r="C774" t="s">
        <v>684</v>
      </c>
      <c r="D774" t="str">
        <f>INDEX('group info'!B:B,MATCH(sectorLookup!C774,'group info'!A:A,0))</f>
        <v>STEM plus medicine and health and other</v>
      </c>
      <c r="E774" t="s">
        <v>322</v>
      </c>
      <c r="F774">
        <v>2010</v>
      </c>
      <c r="G774" t="str">
        <f t="shared" si="12"/>
        <v>STEM plus medicine and health and other SOC2010</v>
      </c>
    </row>
    <row r="775" spans="1:7" x14ac:dyDescent="0.35">
      <c r="A775">
        <v>8119</v>
      </c>
      <c r="B775" t="str">
        <f>IF(F775=2020,INDEX(SOC2020_Structure!E:E,MATCH(sectorLookup!A775,SOC2020_Structure!D:D,0)),INDEX(SOC2010_Structure!E:E,MATCH(sectorLookup!A775,SOC2010_Structure!D:D,0)))</f>
        <v>Process operatives n.e.c.</v>
      </c>
      <c r="C775" t="s">
        <v>684</v>
      </c>
      <c r="D775" t="str">
        <f>INDEX('group info'!B:B,MATCH(sectorLookup!C775,'group info'!A:A,0))</f>
        <v>STEM plus medicine and health and other</v>
      </c>
      <c r="E775" t="s">
        <v>322</v>
      </c>
      <c r="F775">
        <v>2010</v>
      </c>
      <c r="G775" t="str">
        <f t="shared" si="12"/>
        <v>STEM plus medicine and health and other SOC2010</v>
      </c>
    </row>
    <row r="776" spans="1:7" x14ac:dyDescent="0.35">
      <c r="A776">
        <v>8121</v>
      </c>
      <c r="B776" t="str">
        <f>IF(F776=2020,INDEX(SOC2020_Structure!E:E,MATCH(sectorLookup!A776,SOC2020_Structure!D:D,0)),INDEX(SOC2010_Structure!E:E,MATCH(sectorLookup!A776,SOC2010_Structure!D:D,0)))</f>
        <v>Paper and wood machine operatives</v>
      </c>
      <c r="C776" t="s">
        <v>684</v>
      </c>
      <c r="D776" t="str">
        <f>INDEX('group info'!B:B,MATCH(sectorLookup!C776,'group info'!A:A,0))</f>
        <v>STEM plus medicine and health and other</v>
      </c>
      <c r="E776" t="s">
        <v>322</v>
      </c>
      <c r="F776">
        <v>2010</v>
      </c>
      <c r="G776" t="str">
        <f t="shared" si="12"/>
        <v>STEM plus medicine and health and other SOC2010</v>
      </c>
    </row>
    <row r="777" spans="1:7" x14ac:dyDescent="0.35">
      <c r="A777">
        <v>8122</v>
      </c>
      <c r="B777" t="str">
        <f>IF(F777=2020,INDEX(SOC2020_Structure!E:E,MATCH(sectorLookup!A777,SOC2020_Structure!D:D,0)),INDEX(SOC2010_Structure!E:E,MATCH(sectorLookup!A777,SOC2010_Structure!D:D,0)))</f>
        <v>Coal mine operatives</v>
      </c>
      <c r="C777" t="s">
        <v>684</v>
      </c>
      <c r="D777" t="str">
        <f>INDEX('group info'!B:B,MATCH(sectorLookup!C777,'group info'!A:A,0))</f>
        <v>STEM plus medicine and health and other</v>
      </c>
      <c r="E777" t="s">
        <v>322</v>
      </c>
      <c r="F777">
        <v>2010</v>
      </c>
      <c r="G777" t="str">
        <f t="shared" si="12"/>
        <v>STEM plus medicine and health and other SOC2010</v>
      </c>
    </row>
    <row r="778" spans="1:7" x14ac:dyDescent="0.35">
      <c r="A778">
        <v>8123</v>
      </c>
      <c r="B778" t="str">
        <f>IF(F778=2020,INDEX(SOC2020_Structure!E:E,MATCH(sectorLookup!A778,SOC2020_Structure!D:D,0)),INDEX(SOC2010_Structure!E:E,MATCH(sectorLookup!A778,SOC2010_Structure!D:D,0)))</f>
        <v>Quarry workers and related operatives</v>
      </c>
      <c r="C778" t="s">
        <v>684</v>
      </c>
      <c r="D778" t="str">
        <f>INDEX('group info'!B:B,MATCH(sectorLookup!C778,'group info'!A:A,0))</f>
        <v>STEM plus medicine and health and other</v>
      </c>
      <c r="E778" t="s">
        <v>322</v>
      </c>
      <c r="F778">
        <v>2010</v>
      </c>
      <c r="G778" t="str">
        <f t="shared" si="12"/>
        <v>STEM plus medicine and health and other SOC2010</v>
      </c>
    </row>
    <row r="779" spans="1:7" x14ac:dyDescent="0.35">
      <c r="A779">
        <v>8124</v>
      </c>
      <c r="B779" t="str">
        <f>IF(F779=2020,INDEX(SOC2020_Structure!E:E,MATCH(sectorLookup!A779,SOC2020_Structure!D:D,0)),INDEX(SOC2010_Structure!E:E,MATCH(sectorLookup!A779,SOC2010_Structure!D:D,0)))</f>
        <v>Energy plant operatives</v>
      </c>
      <c r="C779" t="s">
        <v>684</v>
      </c>
      <c r="D779" t="str">
        <f>INDEX('group info'!B:B,MATCH(sectorLookup!C779,'group info'!A:A,0))</f>
        <v>STEM plus medicine and health and other</v>
      </c>
      <c r="E779" t="s">
        <v>322</v>
      </c>
      <c r="F779">
        <v>2010</v>
      </c>
      <c r="G779" t="str">
        <f t="shared" si="12"/>
        <v>STEM plus medicine and health and other SOC2010</v>
      </c>
    </row>
    <row r="780" spans="1:7" x14ac:dyDescent="0.35">
      <c r="A780">
        <v>8125</v>
      </c>
      <c r="B780" t="str">
        <f>IF(F780=2020,INDEX(SOC2020_Structure!E:E,MATCH(sectorLookup!A780,SOC2020_Structure!D:D,0)),INDEX(SOC2010_Structure!E:E,MATCH(sectorLookup!A780,SOC2010_Structure!D:D,0)))</f>
        <v>Metal working machine operatives</v>
      </c>
      <c r="C780" t="s">
        <v>684</v>
      </c>
      <c r="D780" t="str">
        <f>INDEX('group info'!B:B,MATCH(sectorLookup!C780,'group info'!A:A,0))</f>
        <v>STEM plus medicine and health and other</v>
      </c>
      <c r="E780" t="s">
        <v>322</v>
      </c>
      <c r="F780">
        <v>2010</v>
      </c>
      <c r="G780" t="str">
        <f t="shared" si="12"/>
        <v>STEM plus medicine and health and other SOC2010</v>
      </c>
    </row>
    <row r="781" spans="1:7" x14ac:dyDescent="0.35">
      <c r="A781">
        <v>8126</v>
      </c>
      <c r="B781" t="str">
        <f>IF(F781=2020,INDEX(SOC2020_Structure!E:E,MATCH(sectorLookup!A781,SOC2020_Structure!D:D,0)),INDEX(SOC2010_Structure!E:E,MATCH(sectorLookup!A781,SOC2010_Structure!D:D,0)))</f>
        <v>Water and sewerage plant operatives</v>
      </c>
      <c r="C781" t="s">
        <v>684</v>
      </c>
      <c r="D781" t="str">
        <f>INDEX('group info'!B:B,MATCH(sectorLookup!C781,'group info'!A:A,0))</f>
        <v>STEM plus medicine and health and other</v>
      </c>
      <c r="E781" t="s">
        <v>322</v>
      </c>
      <c r="F781">
        <v>2010</v>
      </c>
      <c r="G781" t="str">
        <f t="shared" si="12"/>
        <v>STEM plus medicine and health and other SOC2010</v>
      </c>
    </row>
    <row r="782" spans="1:7" x14ac:dyDescent="0.35">
      <c r="A782">
        <v>8129</v>
      </c>
      <c r="B782" t="str">
        <f>IF(F782=2020,INDEX(SOC2020_Structure!E:E,MATCH(sectorLookup!A782,SOC2020_Structure!D:D,0)),INDEX(SOC2010_Structure!E:E,MATCH(sectorLookup!A782,SOC2010_Structure!D:D,0)))</f>
        <v>Plant and machine operatives n.e.c.</v>
      </c>
      <c r="C782" t="s">
        <v>684</v>
      </c>
      <c r="D782" t="str">
        <f>INDEX('group info'!B:B,MATCH(sectorLookup!C782,'group info'!A:A,0))</f>
        <v>STEM plus medicine and health and other</v>
      </c>
      <c r="E782" t="s">
        <v>322</v>
      </c>
      <c r="F782">
        <v>2010</v>
      </c>
      <c r="G782" t="str">
        <f t="shared" si="12"/>
        <v>STEM plus medicine and health and other SOC2010</v>
      </c>
    </row>
    <row r="783" spans="1:7" x14ac:dyDescent="0.35">
      <c r="A783">
        <v>8131</v>
      </c>
      <c r="B783" t="str">
        <f>IF(F783=2020,INDEX(SOC2020_Structure!E:E,MATCH(sectorLookup!A783,SOC2020_Structure!D:D,0)),INDEX(SOC2010_Structure!E:E,MATCH(sectorLookup!A783,SOC2010_Structure!D:D,0)))</f>
        <v>Assemblers (electrical and electronic products)</v>
      </c>
      <c r="C783" t="s">
        <v>684</v>
      </c>
      <c r="D783" t="str">
        <f>INDEX('group info'!B:B,MATCH(sectorLookup!C783,'group info'!A:A,0))</f>
        <v>STEM plus medicine and health and other</v>
      </c>
      <c r="E783" t="s">
        <v>322</v>
      </c>
      <c r="F783">
        <v>2010</v>
      </c>
      <c r="G783" t="str">
        <f t="shared" si="12"/>
        <v>STEM plus medicine and health and other SOC2010</v>
      </c>
    </row>
    <row r="784" spans="1:7" x14ac:dyDescent="0.35">
      <c r="A784">
        <v>8132</v>
      </c>
      <c r="B784" t="str">
        <f>IF(F784=2020,INDEX(SOC2020_Structure!E:E,MATCH(sectorLookup!A784,SOC2020_Structure!D:D,0)),INDEX(SOC2010_Structure!E:E,MATCH(sectorLookup!A784,SOC2010_Structure!D:D,0)))</f>
        <v>Assemblers (vehicles and metal goods)</v>
      </c>
      <c r="C784" t="s">
        <v>684</v>
      </c>
      <c r="D784" t="str">
        <f>INDEX('group info'!B:B,MATCH(sectorLookup!C784,'group info'!A:A,0))</f>
        <v>STEM plus medicine and health and other</v>
      </c>
      <c r="E784" t="s">
        <v>322</v>
      </c>
      <c r="F784">
        <v>2010</v>
      </c>
      <c r="G784" t="str">
        <f t="shared" si="12"/>
        <v>STEM plus medicine and health and other SOC2010</v>
      </c>
    </row>
    <row r="785" spans="1:7" x14ac:dyDescent="0.35">
      <c r="A785">
        <v>8133</v>
      </c>
      <c r="B785" t="str">
        <f>IF(F785=2020,INDEX(SOC2020_Structure!E:E,MATCH(sectorLookup!A785,SOC2020_Structure!D:D,0)),INDEX(SOC2010_Structure!E:E,MATCH(sectorLookup!A785,SOC2010_Structure!D:D,0)))</f>
        <v>Routine inspectors and testers</v>
      </c>
      <c r="C785" t="s">
        <v>684</v>
      </c>
      <c r="D785" t="str">
        <f>INDEX('group info'!B:B,MATCH(sectorLookup!C785,'group info'!A:A,0))</f>
        <v>STEM plus medicine and health and other</v>
      </c>
      <c r="E785" t="s">
        <v>322</v>
      </c>
      <c r="F785">
        <v>2010</v>
      </c>
      <c r="G785" t="str">
        <f t="shared" si="12"/>
        <v>STEM plus medicine and health and other SOC2010</v>
      </c>
    </row>
    <row r="786" spans="1:7" x14ac:dyDescent="0.35">
      <c r="A786">
        <v>8135</v>
      </c>
      <c r="B786" t="str">
        <f>IF(F786=2020,INDEX(SOC2020_Structure!E:E,MATCH(sectorLookup!A786,SOC2020_Structure!D:D,0)),INDEX(SOC2010_Structure!E:E,MATCH(sectorLookup!A786,SOC2010_Structure!D:D,0)))</f>
        <v>Tyre, exhaust and windscreen fitters</v>
      </c>
      <c r="C786" t="s">
        <v>684</v>
      </c>
      <c r="D786" t="str">
        <f>INDEX('group info'!B:B,MATCH(sectorLookup!C786,'group info'!A:A,0))</f>
        <v>STEM plus medicine and health and other</v>
      </c>
      <c r="E786" t="s">
        <v>322</v>
      </c>
      <c r="F786">
        <v>2010</v>
      </c>
      <c r="G786" t="str">
        <f t="shared" si="12"/>
        <v>STEM plus medicine and health and other SOC2010</v>
      </c>
    </row>
    <row r="787" spans="1:7" x14ac:dyDescent="0.35">
      <c r="A787">
        <v>8141</v>
      </c>
      <c r="B787" t="str">
        <f>IF(F787=2020,INDEX(SOC2020_Structure!E:E,MATCH(sectorLookup!A787,SOC2020_Structure!D:D,0)),INDEX(SOC2010_Structure!E:E,MATCH(sectorLookup!A787,SOC2010_Structure!D:D,0)))</f>
        <v>Scaffolders, stagers and riggers</v>
      </c>
      <c r="C787" t="s">
        <v>684</v>
      </c>
      <c r="D787" t="str">
        <f>INDEX('group info'!B:B,MATCH(sectorLookup!C787,'group info'!A:A,0))</f>
        <v>STEM plus medicine and health and other</v>
      </c>
      <c r="E787" t="s">
        <v>322</v>
      </c>
      <c r="F787">
        <v>2010</v>
      </c>
      <c r="G787" t="str">
        <f t="shared" si="12"/>
        <v>STEM plus medicine and health and other SOC2010</v>
      </c>
    </row>
    <row r="788" spans="1:7" x14ac:dyDescent="0.35">
      <c r="A788">
        <v>8142</v>
      </c>
      <c r="B788" t="str">
        <f>IF(F788=2020,INDEX(SOC2020_Structure!E:E,MATCH(sectorLookup!A788,SOC2020_Structure!D:D,0)),INDEX(SOC2010_Structure!E:E,MATCH(sectorLookup!A788,SOC2010_Structure!D:D,0)))</f>
        <v>Road construction operatives</v>
      </c>
      <c r="C788" t="s">
        <v>684</v>
      </c>
      <c r="D788" t="str">
        <f>INDEX('group info'!B:B,MATCH(sectorLookup!C788,'group info'!A:A,0))</f>
        <v>STEM plus medicine and health and other</v>
      </c>
      <c r="E788" t="s">
        <v>322</v>
      </c>
      <c r="F788">
        <v>2010</v>
      </c>
      <c r="G788" t="str">
        <f t="shared" si="12"/>
        <v>STEM plus medicine and health and other SOC2010</v>
      </c>
    </row>
    <row r="789" spans="1:7" x14ac:dyDescent="0.35">
      <c r="A789">
        <v>8143</v>
      </c>
      <c r="B789" t="str">
        <f>IF(F789=2020,INDEX(SOC2020_Structure!E:E,MATCH(sectorLookup!A789,SOC2020_Structure!D:D,0)),INDEX(SOC2010_Structure!E:E,MATCH(sectorLookup!A789,SOC2010_Structure!D:D,0)))</f>
        <v>Rail construction and maintenance operatives</v>
      </c>
      <c r="C789" t="s">
        <v>684</v>
      </c>
      <c r="D789" t="str">
        <f>INDEX('group info'!B:B,MATCH(sectorLookup!C789,'group info'!A:A,0))</f>
        <v>STEM plus medicine and health and other</v>
      </c>
      <c r="E789" t="s">
        <v>322</v>
      </c>
      <c r="F789">
        <v>2010</v>
      </c>
      <c r="G789" t="str">
        <f t="shared" si="12"/>
        <v>STEM plus medicine and health and other SOC2010</v>
      </c>
    </row>
    <row r="790" spans="1:7" x14ac:dyDescent="0.35">
      <c r="A790">
        <v>8149</v>
      </c>
      <c r="B790" t="str">
        <f>IF(F790=2020,INDEX(SOC2020_Structure!E:E,MATCH(sectorLookup!A790,SOC2020_Structure!D:D,0)),INDEX(SOC2010_Structure!E:E,MATCH(sectorLookup!A790,SOC2010_Structure!D:D,0)))</f>
        <v>Construction operatives n.e.c.</v>
      </c>
      <c r="C790" t="s">
        <v>684</v>
      </c>
      <c r="D790" t="str">
        <f>INDEX('group info'!B:B,MATCH(sectorLookup!C790,'group info'!A:A,0))</f>
        <v>STEM plus medicine and health and other</v>
      </c>
      <c r="E790" t="s">
        <v>322</v>
      </c>
      <c r="F790">
        <v>2010</v>
      </c>
      <c r="G790" t="str">
        <f t="shared" si="12"/>
        <v>STEM plus medicine and health and other SOC2010</v>
      </c>
    </row>
    <row r="791" spans="1:7" x14ac:dyDescent="0.35">
      <c r="A791">
        <v>8221</v>
      </c>
      <c r="B791" t="str">
        <f>IF(F791=2020,INDEX(SOC2020_Structure!E:E,MATCH(sectorLookup!A791,SOC2020_Structure!D:D,0)),INDEX(SOC2010_Structure!E:E,MATCH(sectorLookup!A791,SOC2010_Structure!D:D,0)))</f>
        <v>Crane drivers</v>
      </c>
      <c r="C791" t="s">
        <v>684</v>
      </c>
      <c r="D791" t="str">
        <f>INDEX('group info'!B:B,MATCH(sectorLookup!C791,'group info'!A:A,0))</f>
        <v>STEM plus medicine and health and other</v>
      </c>
      <c r="E791" t="s">
        <v>322</v>
      </c>
      <c r="F791">
        <v>2010</v>
      </c>
      <c r="G791" t="str">
        <f t="shared" si="12"/>
        <v>STEM plus medicine and health and other SOC2010</v>
      </c>
    </row>
    <row r="792" spans="1:7" x14ac:dyDescent="0.35">
      <c r="A792">
        <v>8232</v>
      </c>
      <c r="B792" t="str">
        <f>IF(F792=2020,INDEX(SOC2020_Structure!E:E,MATCH(sectorLookup!A792,SOC2020_Structure!D:D,0)),INDEX(SOC2010_Structure!E:E,MATCH(sectorLookup!A792,SOC2010_Structure!D:D,0)))</f>
        <v>Marine and waterways transport operatives</v>
      </c>
      <c r="C792" t="s">
        <v>684</v>
      </c>
      <c r="D792" t="str">
        <f>INDEX('group info'!B:B,MATCH(sectorLookup!C792,'group info'!A:A,0))</f>
        <v>STEM plus medicine and health and other</v>
      </c>
      <c r="E792" t="s">
        <v>322</v>
      </c>
      <c r="F792">
        <v>2010</v>
      </c>
      <c r="G792" t="str">
        <f t="shared" si="12"/>
        <v>STEM plus medicine and health and other SOC2010</v>
      </c>
    </row>
    <row r="793" spans="1:7" x14ac:dyDescent="0.35">
      <c r="A793">
        <v>1121</v>
      </c>
      <c r="B793" t="str">
        <f>IF(F793=2020,INDEX(SOC2020_Structure!E:E,MATCH(sectorLookup!A793,SOC2020_Structure!D:D,0)),INDEX(SOC2010_Structure!E:E,MATCH(sectorLookup!A793,SOC2010_Structure!D:D,0)))</f>
        <v>Production managers and directors in manufacturing</v>
      </c>
      <c r="C793" t="s">
        <v>683</v>
      </c>
      <c r="D793" t="str">
        <f>INDEX('group info'!B:B,MATCH(sectorLookup!C793,'group info'!A:A,0))</f>
        <v>STEM</v>
      </c>
      <c r="E793" t="s">
        <v>322</v>
      </c>
      <c r="F793">
        <v>2010</v>
      </c>
      <c r="G793" t="str">
        <f t="shared" si="12"/>
        <v>STEM SOC2010</v>
      </c>
    </row>
    <row r="794" spans="1:7" x14ac:dyDescent="0.35">
      <c r="A794">
        <v>1122</v>
      </c>
      <c r="B794" t="str">
        <f>IF(F794=2020,INDEX(SOC2020_Structure!E:E,MATCH(sectorLookup!A794,SOC2020_Structure!D:D,0)),INDEX(SOC2010_Structure!E:E,MATCH(sectorLookup!A794,SOC2010_Structure!D:D,0)))</f>
        <v>Production managers and directors in construction</v>
      </c>
      <c r="C794" t="s">
        <v>683</v>
      </c>
      <c r="D794" t="str">
        <f>INDEX('group info'!B:B,MATCH(sectorLookup!C794,'group info'!A:A,0))</f>
        <v>STEM</v>
      </c>
      <c r="E794" t="s">
        <v>322</v>
      </c>
      <c r="F794">
        <v>2010</v>
      </c>
      <c r="G794" t="str">
        <f t="shared" si="12"/>
        <v>STEM SOC2010</v>
      </c>
    </row>
    <row r="795" spans="1:7" x14ac:dyDescent="0.35">
      <c r="A795">
        <v>1123</v>
      </c>
      <c r="B795" t="str">
        <f>IF(F795=2020,INDEX(SOC2020_Structure!E:E,MATCH(sectorLookup!A795,SOC2020_Structure!D:D,0)),INDEX(SOC2010_Structure!E:E,MATCH(sectorLookup!A795,SOC2010_Structure!D:D,0)))</f>
        <v>Production managers and directors in mining and energy</v>
      </c>
      <c r="C795" t="s">
        <v>683</v>
      </c>
      <c r="D795" t="str">
        <f>INDEX('group info'!B:B,MATCH(sectorLookup!C795,'group info'!A:A,0))</f>
        <v>STEM</v>
      </c>
      <c r="E795" t="s">
        <v>322</v>
      </c>
      <c r="F795">
        <v>2010</v>
      </c>
      <c r="G795" t="str">
        <f t="shared" si="12"/>
        <v>STEM SOC2010</v>
      </c>
    </row>
    <row r="796" spans="1:7" x14ac:dyDescent="0.35">
      <c r="A796">
        <v>1136</v>
      </c>
      <c r="B796" t="str">
        <f>IF(F796=2020,INDEX(SOC2020_Structure!E:E,MATCH(sectorLookup!A796,SOC2020_Structure!D:D,0)),INDEX(SOC2010_Structure!E:E,MATCH(sectorLookup!A796,SOC2010_Structure!D:D,0)))</f>
        <v>Information technology and telecommunications directors</v>
      </c>
      <c r="C796" t="s">
        <v>683</v>
      </c>
      <c r="D796" t="str">
        <f>INDEX('group info'!B:B,MATCH(sectorLookup!C796,'group info'!A:A,0))</f>
        <v>STEM</v>
      </c>
      <c r="E796" t="s">
        <v>322</v>
      </c>
      <c r="F796">
        <v>2010</v>
      </c>
      <c r="G796" t="str">
        <f t="shared" si="12"/>
        <v>STEM SOC2010</v>
      </c>
    </row>
    <row r="797" spans="1:7" x14ac:dyDescent="0.35">
      <c r="A797">
        <v>1171</v>
      </c>
      <c r="B797" t="str">
        <f>IF(F797=2020,INDEX(SOC2020_Structure!E:E,MATCH(sectorLookup!A797,SOC2020_Structure!D:D,0)),INDEX(SOC2010_Structure!E:E,MATCH(sectorLookup!A797,SOC2010_Structure!D:D,0)))</f>
        <v>Officers in armed forces</v>
      </c>
      <c r="C797" t="s">
        <v>683</v>
      </c>
      <c r="D797" t="str">
        <f>INDEX('group info'!B:B,MATCH(sectorLookup!C797,'group info'!A:A,0))</f>
        <v>STEM</v>
      </c>
      <c r="E797" t="s">
        <v>322</v>
      </c>
      <c r="F797">
        <v>2010</v>
      </c>
      <c r="G797" t="str">
        <f t="shared" si="12"/>
        <v>STEM SOC2010</v>
      </c>
    </row>
    <row r="798" spans="1:7" x14ac:dyDescent="0.35">
      <c r="A798">
        <v>1211</v>
      </c>
      <c r="B798" t="str">
        <f>IF(F798=2020,INDEX(SOC2020_Structure!E:E,MATCH(sectorLookup!A798,SOC2020_Structure!D:D,0)),INDEX(SOC2010_Structure!E:E,MATCH(sectorLookup!A798,SOC2010_Structure!D:D,0)))</f>
        <v>Managers and proprietors in agriculture and horticulture</v>
      </c>
      <c r="C798" t="s">
        <v>683</v>
      </c>
      <c r="D798" t="str">
        <f>INDEX('group info'!B:B,MATCH(sectorLookup!C798,'group info'!A:A,0))</f>
        <v>STEM</v>
      </c>
      <c r="E798" t="s">
        <v>322</v>
      </c>
      <c r="F798">
        <v>2010</v>
      </c>
      <c r="G798" t="str">
        <f t="shared" si="12"/>
        <v>STEM SOC2010</v>
      </c>
    </row>
    <row r="799" spans="1:7" x14ac:dyDescent="0.35">
      <c r="A799">
        <v>1255</v>
      </c>
      <c r="B799" t="str">
        <f>IF(F799=2020,INDEX(SOC2020_Structure!E:E,MATCH(sectorLookup!A799,SOC2020_Structure!D:D,0)),INDEX(SOC2010_Structure!E:E,MATCH(sectorLookup!A799,SOC2010_Structure!D:D,0)))</f>
        <v>Waste disposal and environmental services managers</v>
      </c>
      <c r="C799" t="s">
        <v>683</v>
      </c>
      <c r="D799" t="str">
        <f>INDEX('group info'!B:B,MATCH(sectorLookup!C799,'group info'!A:A,0))</f>
        <v>STEM</v>
      </c>
      <c r="E799" t="s">
        <v>322</v>
      </c>
      <c r="F799">
        <v>2010</v>
      </c>
      <c r="G799" t="str">
        <f t="shared" si="12"/>
        <v>STEM SOC2010</v>
      </c>
    </row>
    <row r="800" spans="1:7" x14ac:dyDescent="0.35">
      <c r="A800">
        <v>2111</v>
      </c>
      <c r="B800" t="str">
        <f>IF(F800=2020,INDEX(SOC2020_Structure!E:E,MATCH(sectorLookup!A800,SOC2020_Structure!D:D,0)),INDEX(SOC2010_Structure!E:E,MATCH(sectorLookup!A800,SOC2010_Structure!D:D,0)))</f>
        <v>Chemical scientists</v>
      </c>
      <c r="C800" t="s">
        <v>683</v>
      </c>
      <c r="D800" t="str">
        <f>INDEX('group info'!B:B,MATCH(sectorLookup!C800,'group info'!A:A,0))</f>
        <v>STEM</v>
      </c>
      <c r="E800" t="s">
        <v>322</v>
      </c>
      <c r="F800">
        <v>2010</v>
      </c>
      <c r="G800" t="str">
        <f t="shared" si="12"/>
        <v>STEM SOC2010</v>
      </c>
    </row>
    <row r="801" spans="1:7" x14ac:dyDescent="0.35">
      <c r="A801">
        <v>2112</v>
      </c>
      <c r="B801" t="str">
        <f>IF(F801=2020,INDEX(SOC2020_Structure!E:E,MATCH(sectorLookup!A801,SOC2020_Structure!D:D,0)),INDEX(SOC2010_Structure!E:E,MATCH(sectorLookup!A801,SOC2010_Structure!D:D,0)))</f>
        <v>Biological scientists and biochemists</v>
      </c>
      <c r="C801" t="s">
        <v>683</v>
      </c>
      <c r="D801" t="str">
        <f>INDEX('group info'!B:B,MATCH(sectorLookup!C801,'group info'!A:A,0))</f>
        <v>STEM</v>
      </c>
      <c r="E801" t="s">
        <v>322</v>
      </c>
      <c r="F801">
        <v>2010</v>
      </c>
      <c r="G801" t="str">
        <f t="shared" si="12"/>
        <v>STEM SOC2010</v>
      </c>
    </row>
    <row r="802" spans="1:7" x14ac:dyDescent="0.35">
      <c r="A802">
        <v>2113</v>
      </c>
      <c r="B802" t="str">
        <f>IF(F802=2020,INDEX(SOC2020_Structure!E:E,MATCH(sectorLookup!A802,SOC2020_Structure!D:D,0)),INDEX(SOC2010_Structure!E:E,MATCH(sectorLookup!A802,SOC2010_Structure!D:D,0)))</f>
        <v>Physical scientists</v>
      </c>
      <c r="C802" t="s">
        <v>683</v>
      </c>
      <c r="D802" t="str">
        <f>INDEX('group info'!B:B,MATCH(sectorLookup!C802,'group info'!A:A,0))</f>
        <v>STEM</v>
      </c>
      <c r="E802" t="s">
        <v>322</v>
      </c>
      <c r="F802">
        <v>2010</v>
      </c>
      <c r="G802" t="str">
        <f t="shared" si="12"/>
        <v>STEM SOC2010</v>
      </c>
    </row>
    <row r="803" spans="1:7" x14ac:dyDescent="0.35">
      <c r="A803">
        <v>2114</v>
      </c>
      <c r="B803" t="str">
        <f>IF(F803=2020,INDEX(SOC2020_Structure!E:E,MATCH(sectorLookup!A803,SOC2020_Structure!D:D,0)),INDEX(SOC2010_Structure!E:E,MATCH(sectorLookup!A803,SOC2010_Structure!D:D,0)))</f>
        <v>Social and humanities scientists</v>
      </c>
      <c r="C803" t="s">
        <v>683</v>
      </c>
      <c r="D803" t="str">
        <f>INDEX('group info'!B:B,MATCH(sectorLookup!C803,'group info'!A:A,0))</f>
        <v>STEM</v>
      </c>
      <c r="E803" t="s">
        <v>322</v>
      </c>
      <c r="F803">
        <v>2010</v>
      </c>
      <c r="G803" t="str">
        <f t="shared" si="12"/>
        <v>STEM SOC2010</v>
      </c>
    </row>
    <row r="804" spans="1:7" x14ac:dyDescent="0.35">
      <c r="A804">
        <v>2119</v>
      </c>
      <c r="B804" t="str">
        <f>IF(F804=2020,INDEX(SOC2020_Structure!E:E,MATCH(sectorLookup!A804,SOC2020_Structure!D:D,0)),INDEX(SOC2010_Structure!E:E,MATCH(sectorLookup!A804,SOC2010_Structure!D:D,0)))</f>
        <v>Natural and social science professionals n.e.c.</v>
      </c>
      <c r="C804" t="s">
        <v>683</v>
      </c>
      <c r="D804" t="str">
        <f>INDEX('group info'!B:B,MATCH(sectorLookup!C804,'group info'!A:A,0))</f>
        <v>STEM</v>
      </c>
      <c r="E804" t="s">
        <v>322</v>
      </c>
      <c r="F804">
        <v>2010</v>
      </c>
      <c r="G804" t="str">
        <f t="shared" si="12"/>
        <v>STEM SOC2010</v>
      </c>
    </row>
    <row r="805" spans="1:7" x14ac:dyDescent="0.35">
      <c r="A805">
        <v>2121</v>
      </c>
      <c r="B805" t="str">
        <f>IF(F805=2020,INDEX(SOC2020_Structure!E:E,MATCH(sectorLookup!A805,SOC2020_Structure!D:D,0)),INDEX(SOC2010_Structure!E:E,MATCH(sectorLookup!A805,SOC2010_Structure!D:D,0)))</f>
        <v>Civil engineers</v>
      </c>
      <c r="C805" t="s">
        <v>683</v>
      </c>
      <c r="D805" t="str">
        <f>INDEX('group info'!B:B,MATCH(sectorLookup!C805,'group info'!A:A,0))</f>
        <v>STEM</v>
      </c>
      <c r="E805" t="s">
        <v>322</v>
      </c>
      <c r="F805">
        <v>2010</v>
      </c>
      <c r="G805" t="str">
        <f t="shared" si="12"/>
        <v>STEM SOC2010</v>
      </c>
    </row>
    <row r="806" spans="1:7" x14ac:dyDescent="0.35">
      <c r="A806">
        <v>2122</v>
      </c>
      <c r="B806" t="str">
        <f>IF(F806=2020,INDEX(SOC2020_Structure!E:E,MATCH(sectorLookup!A806,SOC2020_Structure!D:D,0)),INDEX(SOC2010_Structure!E:E,MATCH(sectorLookup!A806,SOC2010_Structure!D:D,0)))</f>
        <v>Mechanical engineers</v>
      </c>
      <c r="C806" t="s">
        <v>683</v>
      </c>
      <c r="D806" t="str">
        <f>INDEX('group info'!B:B,MATCH(sectorLookup!C806,'group info'!A:A,0))</f>
        <v>STEM</v>
      </c>
      <c r="E806" t="s">
        <v>322</v>
      </c>
      <c r="F806">
        <v>2010</v>
      </c>
      <c r="G806" t="str">
        <f t="shared" si="12"/>
        <v>STEM SOC2010</v>
      </c>
    </row>
    <row r="807" spans="1:7" x14ac:dyDescent="0.35">
      <c r="A807">
        <v>2123</v>
      </c>
      <c r="B807" t="str">
        <f>IF(F807=2020,INDEX(SOC2020_Structure!E:E,MATCH(sectorLookup!A807,SOC2020_Structure!D:D,0)),INDEX(SOC2010_Structure!E:E,MATCH(sectorLookup!A807,SOC2010_Structure!D:D,0)))</f>
        <v>Electrical engineers</v>
      </c>
      <c r="C807" t="s">
        <v>683</v>
      </c>
      <c r="D807" t="str">
        <f>INDEX('group info'!B:B,MATCH(sectorLookup!C807,'group info'!A:A,0))</f>
        <v>STEM</v>
      </c>
      <c r="E807" t="s">
        <v>322</v>
      </c>
      <c r="F807">
        <v>2010</v>
      </c>
      <c r="G807" t="str">
        <f t="shared" si="12"/>
        <v>STEM SOC2010</v>
      </c>
    </row>
    <row r="808" spans="1:7" x14ac:dyDescent="0.35">
      <c r="A808">
        <v>2124</v>
      </c>
      <c r="B808" t="str">
        <f>IF(F808=2020,INDEX(SOC2020_Structure!E:E,MATCH(sectorLookup!A808,SOC2020_Structure!D:D,0)),INDEX(SOC2010_Structure!E:E,MATCH(sectorLookup!A808,SOC2010_Structure!D:D,0)))</f>
        <v>Electronics engineers</v>
      </c>
      <c r="C808" t="s">
        <v>683</v>
      </c>
      <c r="D808" t="str">
        <f>INDEX('group info'!B:B,MATCH(sectorLookup!C808,'group info'!A:A,0))</f>
        <v>STEM</v>
      </c>
      <c r="E808" t="s">
        <v>322</v>
      </c>
      <c r="F808">
        <v>2010</v>
      </c>
      <c r="G808" t="str">
        <f t="shared" si="12"/>
        <v>STEM SOC2010</v>
      </c>
    </row>
    <row r="809" spans="1:7" x14ac:dyDescent="0.35">
      <c r="A809">
        <v>2126</v>
      </c>
      <c r="B809" t="str">
        <f>IF(F809=2020,INDEX(SOC2020_Structure!E:E,MATCH(sectorLookup!A809,SOC2020_Structure!D:D,0)),INDEX(SOC2010_Structure!E:E,MATCH(sectorLookup!A809,SOC2010_Structure!D:D,0)))</f>
        <v>Design and development engineers</v>
      </c>
      <c r="C809" t="s">
        <v>683</v>
      </c>
      <c r="D809" t="str">
        <f>INDEX('group info'!B:B,MATCH(sectorLookup!C809,'group info'!A:A,0))</f>
        <v>STEM</v>
      </c>
      <c r="E809" t="s">
        <v>322</v>
      </c>
      <c r="F809">
        <v>2010</v>
      </c>
      <c r="G809" t="str">
        <f t="shared" si="12"/>
        <v>STEM SOC2010</v>
      </c>
    </row>
    <row r="810" spans="1:7" x14ac:dyDescent="0.35">
      <c r="A810">
        <v>2127</v>
      </c>
      <c r="B810" t="str">
        <f>IF(F810=2020,INDEX(SOC2020_Structure!E:E,MATCH(sectorLookup!A810,SOC2020_Structure!D:D,0)),INDEX(SOC2010_Structure!E:E,MATCH(sectorLookup!A810,SOC2010_Structure!D:D,0)))</f>
        <v>Production and process engineers</v>
      </c>
      <c r="C810" t="s">
        <v>683</v>
      </c>
      <c r="D810" t="str">
        <f>INDEX('group info'!B:B,MATCH(sectorLookup!C810,'group info'!A:A,0))</f>
        <v>STEM</v>
      </c>
      <c r="E810" t="s">
        <v>322</v>
      </c>
      <c r="F810">
        <v>2010</v>
      </c>
      <c r="G810" t="str">
        <f t="shared" si="12"/>
        <v>STEM SOC2010</v>
      </c>
    </row>
    <row r="811" spans="1:7" x14ac:dyDescent="0.35">
      <c r="A811">
        <v>2129</v>
      </c>
      <c r="B811" t="str">
        <f>IF(F811=2020,INDEX(SOC2020_Structure!E:E,MATCH(sectorLookup!A811,SOC2020_Structure!D:D,0)),INDEX(SOC2010_Structure!E:E,MATCH(sectorLookup!A811,SOC2010_Structure!D:D,0)))</f>
        <v>Engineering professionals n.e.c.</v>
      </c>
      <c r="C811" t="s">
        <v>683</v>
      </c>
      <c r="D811" t="str">
        <f>INDEX('group info'!B:B,MATCH(sectorLookup!C811,'group info'!A:A,0))</f>
        <v>STEM</v>
      </c>
      <c r="E811" t="s">
        <v>322</v>
      </c>
      <c r="F811">
        <v>2010</v>
      </c>
      <c r="G811" t="str">
        <f t="shared" si="12"/>
        <v>STEM SOC2010</v>
      </c>
    </row>
    <row r="812" spans="1:7" x14ac:dyDescent="0.35">
      <c r="A812">
        <v>2133</v>
      </c>
      <c r="B812" t="str">
        <f>IF(F812=2020,INDEX(SOC2020_Structure!E:E,MATCH(sectorLookup!A812,SOC2020_Structure!D:D,0)),INDEX(SOC2010_Structure!E:E,MATCH(sectorLookup!A812,SOC2010_Structure!D:D,0)))</f>
        <v>IT specialist managers</v>
      </c>
      <c r="C812" t="s">
        <v>683</v>
      </c>
      <c r="D812" t="str">
        <f>INDEX('group info'!B:B,MATCH(sectorLookup!C812,'group info'!A:A,0))</f>
        <v>STEM</v>
      </c>
      <c r="E812" t="s">
        <v>322</v>
      </c>
      <c r="F812">
        <v>2010</v>
      </c>
      <c r="G812" t="str">
        <f t="shared" si="12"/>
        <v>STEM SOC2010</v>
      </c>
    </row>
    <row r="813" spans="1:7" x14ac:dyDescent="0.35">
      <c r="A813">
        <v>2134</v>
      </c>
      <c r="B813" t="str">
        <f>IF(F813=2020,INDEX(SOC2020_Structure!E:E,MATCH(sectorLookup!A813,SOC2020_Structure!D:D,0)),INDEX(SOC2010_Structure!E:E,MATCH(sectorLookup!A813,SOC2010_Structure!D:D,0)))</f>
        <v>IT project and programme managers</v>
      </c>
      <c r="C813" t="s">
        <v>683</v>
      </c>
      <c r="D813" t="str">
        <f>INDEX('group info'!B:B,MATCH(sectorLookup!C813,'group info'!A:A,0))</f>
        <v>STEM</v>
      </c>
      <c r="E813" t="s">
        <v>322</v>
      </c>
      <c r="F813">
        <v>2010</v>
      </c>
      <c r="G813" t="str">
        <f t="shared" si="12"/>
        <v>STEM SOC2010</v>
      </c>
    </row>
    <row r="814" spans="1:7" x14ac:dyDescent="0.35">
      <c r="A814">
        <v>2135</v>
      </c>
      <c r="B814" t="str">
        <f>IF(F814=2020,INDEX(SOC2020_Structure!E:E,MATCH(sectorLookup!A814,SOC2020_Structure!D:D,0)),INDEX(SOC2010_Structure!E:E,MATCH(sectorLookup!A814,SOC2010_Structure!D:D,0)))</f>
        <v>IT business analysts, architects and systems designers</v>
      </c>
      <c r="C814" t="s">
        <v>683</v>
      </c>
      <c r="D814" t="str">
        <f>INDEX('group info'!B:B,MATCH(sectorLookup!C814,'group info'!A:A,0))</f>
        <v>STEM</v>
      </c>
      <c r="E814" t="s">
        <v>322</v>
      </c>
      <c r="F814">
        <v>2010</v>
      </c>
      <c r="G814" t="str">
        <f t="shared" si="12"/>
        <v>STEM SOC2010</v>
      </c>
    </row>
    <row r="815" spans="1:7" x14ac:dyDescent="0.35">
      <c r="A815">
        <v>2136</v>
      </c>
      <c r="B815" t="str">
        <f>IF(F815=2020,INDEX(SOC2020_Structure!E:E,MATCH(sectorLookup!A815,SOC2020_Structure!D:D,0)),INDEX(SOC2010_Structure!E:E,MATCH(sectorLookup!A815,SOC2010_Structure!D:D,0)))</f>
        <v>Programmers and software development professionals</v>
      </c>
      <c r="C815" t="s">
        <v>683</v>
      </c>
      <c r="D815" t="str">
        <f>INDEX('group info'!B:B,MATCH(sectorLookup!C815,'group info'!A:A,0))</f>
        <v>STEM</v>
      </c>
      <c r="E815" t="s">
        <v>322</v>
      </c>
      <c r="F815">
        <v>2010</v>
      </c>
      <c r="G815" t="str">
        <f t="shared" si="12"/>
        <v>STEM SOC2010</v>
      </c>
    </row>
    <row r="816" spans="1:7" x14ac:dyDescent="0.35">
      <c r="A816">
        <v>2139</v>
      </c>
      <c r="B816" t="str">
        <f>IF(F816=2020,INDEX(SOC2020_Structure!E:E,MATCH(sectorLookup!A816,SOC2020_Structure!D:D,0)),INDEX(SOC2010_Structure!E:E,MATCH(sectorLookup!A816,SOC2010_Structure!D:D,0)))</f>
        <v>Information technology and telecommunications professionals n.e.c.</v>
      </c>
      <c r="C816" t="s">
        <v>683</v>
      </c>
      <c r="D816" t="str">
        <f>INDEX('group info'!B:B,MATCH(sectorLookup!C816,'group info'!A:A,0))</f>
        <v>STEM</v>
      </c>
      <c r="E816" t="s">
        <v>322</v>
      </c>
      <c r="F816">
        <v>2010</v>
      </c>
      <c r="G816" t="str">
        <f t="shared" si="12"/>
        <v>STEM SOC2010</v>
      </c>
    </row>
    <row r="817" spans="1:7" x14ac:dyDescent="0.35">
      <c r="A817">
        <v>2141</v>
      </c>
      <c r="B817" t="str">
        <f>IF(F817=2020,INDEX(SOC2020_Structure!E:E,MATCH(sectorLookup!A817,SOC2020_Structure!D:D,0)),INDEX(SOC2010_Structure!E:E,MATCH(sectorLookup!A817,SOC2010_Structure!D:D,0)))</f>
        <v>Conservation professionals</v>
      </c>
      <c r="C817" t="s">
        <v>683</v>
      </c>
      <c r="D817" t="str">
        <f>INDEX('group info'!B:B,MATCH(sectorLookup!C817,'group info'!A:A,0))</f>
        <v>STEM</v>
      </c>
      <c r="E817" t="s">
        <v>322</v>
      </c>
      <c r="F817">
        <v>2010</v>
      </c>
      <c r="G817" t="str">
        <f t="shared" si="12"/>
        <v>STEM SOC2010</v>
      </c>
    </row>
    <row r="818" spans="1:7" x14ac:dyDescent="0.35">
      <c r="A818">
        <v>2142</v>
      </c>
      <c r="B818" t="str">
        <f>IF(F818=2020,INDEX(SOC2020_Structure!E:E,MATCH(sectorLookup!A818,SOC2020_Structure!D:D,0)),INDEX(SOC2010_Structure!E:E,MATCH(sectorLookup!A818,SOC2010_Structure!D:D,0)))</f>
        <v>Environment professionals</v>
      </c>
      <c r="C818" t="s">
        <v>683</v>
      </c>
      <c r="D818" t="str">
        <f>INDEX('group info'!B:B,MATCH(sectorLookup!C818,'group info'!A:A,0))</f>
        <v>STEM</v>
      </c>
      <c r="E818" t="s">
        <v>322</v>
      </c>
      <c r="F818">
        <v>2010</v>
      </c>
      <c r="G818" t="str">
        <f t="shared" si="12"/>
        <v>STEM SOC2010</v>
      </c>
    </row>
    <row r="819" spans="1:7" x14ac:dyDescent="0.35">
      <c r="A819">
        <v>2150</v>
      </c>
      <c r="B819" t="str">
        <f>IF(F819=2020,INDEX(SOC2020_Structure!E:E,MATCH(sectorLookup!A819,SOC2020_Structure!D:D,0)),INDEX(SOC2010_Structure!E:E,MATCH(sectorLookup!A819,SOC2010_Structure!D:D,0)))</f>
        <v>Research and development managers</v>
      </c>
      <c r="C819" t="s">
        <v>683</v>
      </c>
      <c r="D819" t="str">
        <f>INDEX('group info'!B:B,MATCH(sectorLookup!C819,'group info'!A:A,0))</f>
        <v>STEM</v>
      </c>
      <c r="E819" t="s">
        <v>322</v>
      </c>
      <c r="F819">
        <v>2010</v>
      </c>
      <c r="G819" t="str">
        <f t="shared" si="12"/>
        <v>STEM SOC2010</v>
      </c>
    </row>
    <row r="820" spans="1:7" x14ac:dyDescent="0.35">
      <c r="A820">
        <v>2212</v>
      </c>
      <c r="B820" t="str">
        <f>IF(F820=2020,INDEX(SOC2020_Structure!E:E,MATCH(sectorLookup!A820,SOC2020_Structure!D:D,0)),INDEX(SOC2010_Structure!E:E,MATCH(sectorLookup!A820,SOC2010_Structure!D:D,0)))</f>
        <v>Psychologists</v>
      </c>
      <c r="C820" t="s">
        <v>683</v>
      </c>
      <c r="D820" t="str">
        <f>INDEX('group info'!B:B,MATCH(sectorLookup!C820,'group info'!A:A,0))</f>
        <v>STEM</v>
      </c>
      <c r="E820" t="s">
        <v>322</v>
      </c>
      <c r="F820">
        <v>2010</v>
      </c>
      <c r="G820" t="str">
        <f t="shared" si="12"/>
        <v>STEM SOC2010</v>
      </c>
    </row>
    <row r="821" spans="1:7" x14ac:dyDescent="0.35">
      <c r="A821">
        <v>2421</v>
      </c>
      <c r="B821" t="str">
        <f>IF(F821=2020,INDEX(SOC2020_Structure!E:E,MATCH(sectorLookup!A821,SOC2020_Structure!D:D,0)),INDEX(SOC2010_Structure!E:E,MATCH(sectorLookup!A821,SOC2010_Structure!D:D,0)))</f>
        <v>Chartered and certified accountants</v>
      </c>
      <c r="C821" t="s">
        <v>683</v>
      </c>
      <c r="D821" t="str">
        <f>INDEX('group info'!B:B,MATCH(sectorLookup!C821,'group info'!A:A,0))</f>
        <v>STEM</v>
      </c>
      <c r="E821" t="s">
        <v>322</v>
      </c>
      <c r="F821">
        <v>2010</v>
      </c>
      <c r="G821" t="str">
        <f t="shared" si="12"/>
        <v>STEM SOC2010</v>
      </c>
    </row>
    <row r="822" spans="1:7" x14ac:dyDescent="0.35">
      <c r="A822">
        <v>2423</v>
      </c>
      <c r="B822" t="str">
        <f>IF(F822=2020,INDEX(SOC2020_Structure!E:E,MATCH(sectorLookup!A822,SOC2020_Structure!D:D,0)),INDEX(SOC2010_Structure!E:E,MATCH(sectorLookup!A822,SOC2010_Structure!D:D,0)))</f>
        <v>Management consultants and business analysts</v>
      </c>
      <c r="C822" t="s">
        <v>683</v>
      </c>
      <c r="D822" t="str">
        <f>INDEX('group info'!B:B,MATCH(sectorLookup!C822,'group info'!A:A,0))</f>
        <v>STEM</v>
      </c>
      <c r="E822" t="s">
        <v>322</v>
      </c>
      <c r="F822">
        <v>2010</v>
      </c>
      <c r="G822" t="str">
        <f t="shared" si="12"/>
        <v>STEM SOC2010</v>
      </c>
    </row>
    <row r="823" spans="1:7" x14ac:dyDescent="0.35">
      <c r="A823">
        <v>2424</v>
      </c>
      <c r="B823" t="str">
        <f>IF(F823=2020,INDEX(SOC2020_Structure!E:E,MATCH(sectorLookup!A823,SOC2020_Structure!D:D,0)),INDEX(SOC2010_Structure!E:E,MATCH(sectorLookup!A823,SOC2010_Structure!D:D,0)))</f>
        <v>Business and financial project management professionals</v>
      </c>
      <c r="C823" t="s">
        <v>683</v>
      </c>
      <c r="D823" t="str">
        <f>INDEX('group info'!B:B,MATCH(sectorLookup!C823,'group info'!A:A,0))</f>
        <v>STEM</v>
      </c>
      <c r="E823" t="s">
        <v>322</v>
      </c>
      <c r="F823">
        <v>2010</v>
      </c>
      <c r="G823" t="str">
        <f t="shared" si="12"/>
        <v>STEM SOC2010</v>
      </c>
    </row>
    <row r="824" spans="1:7" x14ac:dyDescent="0.35">
      <c r="A824">
        <v>2425</v>
      </c>
      <c r="B824" t="str">
        <f>IF(F824=2020,INDEX(SOC2020_Structure!E:E,MATCH(sectorLookup!A824,SOC2020_Structure!D:D,0)),INDEX(SOC2010_Structure!E:E,MATCH(sectorLookup!A824,SOC2010_Structure!D:D,0)))</f>
        <v>Actuaries, economists and statisticians</v>
      </c>
      <c r="C824" t="s">
        <v>683</v>
      </c>
      <c r="D824" t="str">
        <f>INDEX('group info'!B:B,MATCH(sectorLookup!C824,'group info'!A:A,0))</f>
        <v>STEM</v>
      </c>
      <c r="E824" t="s">
        <v>322</v>
      </c>
      <c r="F824">
        <v>2010</v>
      </c>
      <c r="G824" t="str">
        <f t="shared" si="12"/>
        <v>STEM SOC2010</v>
      </c>
    </row>
    <row r="825" spans="1:7" x14ac:dyDescent="0.35">
      <c r="A825">
        <v>2426</v>
      </c>
      <c r="B825" t="str">
        <f>IF(F825=2020,INDEX(SOC2020_Structure!E:E,MATCH(sectorLookup!A825,SOC2020_Structure!D:D,0)),INDEX(SOC2010_Structure!E:E,MATCH(sectorLookup!A825,SOC2010_Structure!D:D,0)))</f>
        <v>Business and related research professionals</v>
      </c>
      <c r="C825" t="s">
        <v>683</v>
      </c>
      <c r="D825" t="str">
        <f>INDEX('group info'!B:B,MATCH(sectorLookup!C825,'group info'!A:A,0))</f>
        <v>STEM</v>
      </c>
      <c r="E825" t="s">
        <v>322</v>
      </c>
      <c r="F825">
        <v>2010</v>
      </c>
      <c r="G825" t="str">
        <f t="shared" si="12"/>
        <v>STEM SOC2010</v>
      </c>
    </row>
    <row r="826" spans="1:7" x14ac:dyDescent="0.35">
      <c r="A826">
        <v>2431</v>
      </c>
      <c r="B826" t="str">
        <f>IF(F826=2020,INDEX(SOC2020_Structure!E:E,MATCH(sectorLookup!A826,SOC2020_Structure!D:D,0)),INDEX(SOC2010_Structure!E:E,MATCH(sectorLookup!A826,SOC2010_Structure!D:D,0)))</f>
        <v>Architects</v>
      </c>
      <c r="C826" t="s">
        <v>683</v>
      </c>
      <c r="D826" t="str">
        <f>INDEX('group info'!B:B,MATCH(sectorLookup!C826,'group info'!A:A,0))</f>
        <v>STEM</v>
      </c>
      <c r="E826" t="s">
        <v>322</v>
      </c>
      <c r="F826">
        <v>2010</v>
      </c>
      <c r="G826" t="str">
        <f t="shared" si="12"/>
        <v>STEM SOC2010</v>
      </c>
    </row>
    <row r="827" spans="1:7" x14ac:dyDescent="0.35">
      <c r="A827">
        <v>2432</v>
      </c>
      <c r="B827" t="str">
        <f>IF(F827=2020,INDEX(SOC2020_Structure!E:E,MATCH(sectorLookup!A827,SOC2020_Structure!D:D,0)),INDEX(SOC2010_Structure!E:E,MATCH(sectorLookup!A827,SOC2010_Structure!D:D,0)))</f>
        <v>Town planning officers</v>
      </c>
      <c r="C827" t="s">
        <v>683</v>
      </c>
      <c r="D827" t="str">
        <f>INDEX('group info'!B:B,MATCH(sectorLookup!C827,'group info'!A:A,0))</f>
        <v>STEM</v>
      </c>
      <c r="E827" t="s">
        <v>322</v>
      </c>
      <c r="F827">
        <v>2010</v>
      </c>
      <c r="G827" t="str">
        <f t="shared" si="12"/>
        <v>STEM SOC2010</v>
      </c>
    </row>
    <row r="828" spans="1:7" x14ac:dyDescent="0.35">
      <c r="A828">
        <v>2433</v>
      </c>
      <c r="B828" t="str">
        <f>IF(F828=2020,INDEX(SOC2020_Structure!E:E,MATCH(sectorLookup!A828,SOC2020_Structure!D:D,0)),INDEX(SOC2010_Structure!E:E,MATCH(sectorLookup!A828,SOC2010_Structure!D:D,0)))</f>
        <v>Quantity surveyors</v>
      </c>
      <c r="C828" t="s">
        <v>683</v>
      </c>
      <c r="D828" t="str">
        <f>INDEX('group info'!B:B,MATCH(sectorLookup!C828,'group info'!A:A,0))</f>
        <v>STEM</v>
      </c>
      <c r="E828" t="s">
        <v>322</v>
      </c>
      <c r="F828">
        <v>2010</v>
      </c>
      <c r="G828" t="str">
        <f t="shared" si="12"/>
        <v>STEM SOC2010</v>
      </c>
    </row>
    <row r="829" spans="1:7" x14ac:dyDescent="0.35">
      <c r="A829">
        <v>2434</v>
      </c>
      <c r="B829" t="str">
        <f>IF(F829=2020,INDEX(SOC2020_Structure!E:E,MATCH(sectorLookup!A829,SOC2020_Structure!D:D,0)),INDEX(SOC2010_Structure!E:E,MATCH(sectorLookup!A829,SOC2010_Structure!D:D,0)))</f>
        <v>Chartered surveyors</v>
      </c>
      <c r="C829" t="s">
        <v>683</v>
      </c>
      <c r="D829" t="str">
        <f>INDEX('group info'!B:B,MATCH(sectorLookup!C829,'group info'!A:A,0))</f>
        <v>STEM</v>
      </c>
      <c r="E829" t="s">
        <v>322</v>
      </c>
      <c r="F829">
        <v>2010</v>
      </c>
      <c r="G829" t="str">
        <f t="shared" si="12"/>
        <v>STEM SOC2010</v>
      </c>
    </row>
    <row r="830" spans="1:7" x14ac:dyDescent="0.35">
      <c r="A830">
        <v>2435</v>
      </c>
      <c r="B830" t="str">
        <f>IF(F830=2020,INDEX(SOC2020_Structure!E:E,MATCH(sectorLookup!A830,SOC2020_Structure!D:D,0)),INDEX(SOC2010_Structure!E:E,MATCH(sectorLookup!A830,SOC2010_Structure!D:D,0)))</f>
        <v>Chartered architectural technologists</v>
      </c>
      <c r="C830" t="s">
        <v>683</v>
      </c>
      <c r="D830" t="str">
        <f>INDEX('group info'!B:B,MATCH(sectorLookup!C830,'group info'!A:A,0))</f>
        <v>STEM</v>
      </c>
      <c r="E830" t="s">
        <v>322</v>
      </c>
      <c r="F830">
        <v>2010</v>
      </c>
      <c r="G830" t="str">
        <f t="shared" si="12"/>
        <v>STEM SOC2010</v>
      </c>
    </row>
    <row r="831" spans="1:7" x14ac:dyDescent="0.35">
      <c r="A831">
        <v>2436</v>
      </c>
      <c r="B831" t="str">
        <f>IF(F831=2020,INDEX(SOC2020_Structure!E:E,MATCH(sectorLookup!A831,SOC2020_Structure!D:D,0)),INDEX(SOC2010_Structure!E:E,MATCH(sectorLookup!A831,SOC2010_Structure!D:D,0)))</f>
        <v>Construction project managers and related professionals</v>
      </c>
      <c r="C831" t="s">
        <v>683</v>
      </c>
      <c r="D831" t="str">
        <f>INDEX('group info'!B:B,MATCH(sectorLookup!C831,'group info'!A:A,0))</f>
        <v>STEM</v>
      </c>
      <c r="E831" t="s">
        <v>322</v>
      </c>
      <c r="F831">
        <v>2010</v>
      </c>
      <c r="G831" t="str">
        <f t="shared" si="12"/>
        <v>STEM SOC2010</v>
      </c>
    </row>
    <row r="832" spans="1:7" x14ac:dyDescent="0.35">
      <c r="A832">
        <v>2461</v>
      </c>
      <c r="B832" t="str">
        <f>IF(F832=2020,INDEX(SOC2020_Structure!E:E,MATCH(sectorLookup!A832,SOC2020_Structure!D:D,0)),INDEX(SOC2010_Structure!E:E,MATCH(sectorLookup!A832,SOC2010_Structure!D:D,0)))</f>
        <v>Quality control and planning engineers</v>
      </c>
      <c r="C832" t="s">
        <v>683</v>
      </c>
      <c r="D832" t="str">
        <f>INDEX('group info'!B:B,MATCH(sectorLookup!C832,'group info'!A:A,0))</f>
        <v>STEM</v>
      </c>
      <c r="E832" t="s">
        <v>322</v>
      </c>
      <c r="F832">
        <v>2010</v>
      </c>
      <c r="G832" t="str">
        <f t="shared" si="12"/>
        <v>STEM SOC2010</v>
      </c>
    </row>
    <row r="833" spans="1:7" x14ac:dyDescent="0.35">
      <c r="A833">
        <v>2462</v>
      </c>
      <c r="B833" t="str">
        <f>IF(F833=2020,INDEX(SOC2020_Structure!E:E,MATCH(sectorLookup!A833,SOC2020_Structure!D:D,0)),INDEX(SOC2010_Structure!E:E,MATCH(sectorLookup!A833,SOC2010_Structure!D:D,0)))</f>
        <v>Quality assurance and regulatory professionals</v>
      </c>
      <c r="C833" t="s">
        <v>683</v>
      </c>
      <c r="D833" t="str">
        <f>INDEX('group info'!B:B,MATCH(sectorLookup!C833,'group info'!A:A,0))</f>
        <v>STEM</v>
      </c>
      <c r="E833" t="s">
        <v>322</v>
      </c>
      <c r="F833">
        <v>2010</v>
      </c>
      <c r="G833" t="str">
        <f t="shared" si="12"/>
        <v>STEM SOC2010</v>
      </c>
    </row>
    <row r="834" spans="1:7" x14ac:dyDescent="0.35">
      <c r="A834">
        <v>2463</v>
      </c>
      <c r="B834" t="str">
        <f>IF(F834=2020,INDEX(SOC2020_Structure!E:E,MATCH(sectorLookup!A834,SOC2020_Structure!D:D,0)),INDEX(SOC2010_Structure!E:E,MATCH(sectorLookup!A834,SOC2010_Structure!D:D,0)))</f>
        <v>Environmental health professionals</v>
      </c>
      <c r="C834" t="s">
        <v>683</v>
      </c>
      <c r="D834" t="str">
        <f>INDEX('group info'!B:B,MATCH(sectorLookup!C834,'group info'!A:A,0))</f>
        <v>STEM</v>
      </c>
      <c r="E834" t="s">
        <v>322</v>
      </c>
      <c r="F834">
        <v>2010</v>
      </c>
      <c r="G834" t="str">
        <f t="shared" si="12"/>
        <v>STEM SOC2010</v>
      </c>
    </row>
    <row r="835" spans="1:7" x14ac:dyDescent="0.35">
      <c r="A835">
        <v>3111</v>
      </c>
      <c r="B835" t="str">
        <f>IF(F835=2020,INDEX(SOC2020_Structure!E:E,MATCH(sectorLookup!A835,SOC2020_Structure!D:D,0)),INDEX(SOC2010_Structure!E:E,MATCH(sectorLookup!A835,SOC2010_Structure!D:D,0)))</f>
        <v>Laboratory technicians</v>
      </c>
      <c r="C835" t="s">
        <v>683</v>
      </c>
      <c r="D835" t="str">
        <f>INDEX('group info'!B:B,MATCH(sectorLookup!C835,'group info'!A:A,0))</f>
        <v>STEM</v>
      </c>
      <c r="E835" t="s">
        <v>322</v>
      </c>
      <c r="F835">
        <v>2010</v>
      </c>
      <c r="G835" t="str">
        <f t="shared" ref="G835:G898" si="13">D835&amp;" SOC"&amp;F835</f>
        <v>STEM SOC2010</v>
      </c>
    </row>
    <row r="836" spans="1:7" x14ac:dyDescent="0.35">
      <c r="A836">
        <v>3112</v>
      </c>
      <c r="B836" t="str">
        <f>IF(F836=2020,INDEX(SOC2020_Structure!E:E,MATCH(sectorLookup!A836,SOC2020_Structure!D:D,0)),INDEX(SOC2010_Structure!E:E,MATCH(sectorLookup!A836,SOC2010_Structure!D:D,0)))</f>
        <v>Electrical and electronics technicians</v>
      </c>
      <c r="C836" t="s">
        <v>683</v>
      </c>
      <c r="D836" t="str">
        <f>INDEX('group info'!B:B,MATCH(sectorLookup!C836,'group info'!A:A,0))</f>
        <v>STEM</v>
      </c>
      <c r="E836" t="s">
        <v>322</v>
      </c>
      <c r="F836">
        <v>2010</v>
      </c>
      <c r="G836" t="str">
        <f t="shared" si="13"/>
        <v>STEM SOC2010</v>
      </c>
    </row>
    <row r="837" spans="1:7" x14ac:dyDescent="0.35">
      <c r="A837">
        <v>3113</v>
      </c>
      <c r="B837" t="str">
        <f>IF(F837=2020,INDEX(SOC2020_Structure!E:E,MATCH(sectorLookup!A837,SOC2020_Structure!D:D,0)),INDEX(SOC2010_Structure!E:E,MATCH(sectorLookup!A837,SOC2010_Structure!D:D,0)))</f>
        <v>Engineering technicians</v>
      </c>
      <c r="C837" t="s">
        <v>683</v>
      </c>
      <c r="D837" t="str">
        <f>INDEX('group info'!B:B,MATCH(sectorLookup!C837,'group info'!A:A,0))</f>
        <v>STEM</v>
      </c>
      <c r="E837" t="s">
        <v>322</v>
      </c>
      <c r="F837">
        <v>2010</v>
      </c>
      <c r="G837" t="str">
        <f t="shared" si="13"/>
        <v>STEM SOC2010</v>
      </c>
    </row>
    <row r="838" spans="1:7" x14ac:dyDescent="0.35">
      <c r="A838">
        <v>3114</v>
      </c>
      <c r="B838" t="str">
        <f>IF(F838=2020,INDEX(SOC2020_Structure!E:E,MATCH(sectorLookup!A838,SOC2020_Structure!D:D,0)),INDEX(SOC2010_Structure!E:E,MATCH(sectorLookup!A838,SOC2010_Structure!D:D,0)))</f>
        <v>Building and civil engineering technicians</v>
      </c>
      <c r="C838" t="s">
        <v>683</v>
      </c>
      <c r="D838" t="str">
        <f>INDEX('group info'!B:B,MATCH(sectorLookup!C838,'group info'!A:A,0))</f>
        <v>STEM</v>
      </c>
      <c r="E838" t="s">
        <v>322</v>
      </c>
      <c r="F838">
        <v>2010</v>
      </c>
      <c r="G838" t="str">
        <f t="shared" si="13"/>
        <v>STEM SOC2010</v>
      </c>
    </row>
    <row r="839" spans="1:7" x14ac:dyDescent="0.35">
      <c r="A839">
        <v>3115</v>
      </c>
      <c r="B839" t="str">
        <f>IF(F839=2020,INDEX(SOC2020_Structure!E:E,MATCH(sectorLookup!A839,SOC2020_Structure!D:D,0)),INDEX(SOC2010_Structure!E:E,MATCH(sectorLookup!A839,SOC2010_Structure!D:D,0)))</f>
        <v>Quality assurance technicians</v>
      </c>
      <c r="C839" t="s">
        <v>683</v>
      </c>
      <c r="D839" t="str">
        <f>INDEX('group info'!B:B,MATCH(sectorLookup!C839,'group info'!A:A,0))</f>
        <v>STEM</v>
      </c>
      <c r="E839" t="s">
        <v>322</v>
      </c>
      <c r="F839">
        <v>2010</v>
      </c>
      <c r="G839" t="str">
        <f t="shared" si="13"/>
        <v>STEM SOC2010</v>
      </c>
    </row>
    <row r="840" spans="1:7" x14ac:dyDescent="0.35">
      <c r="A840">
        <v>3116</v>
      </c>
      <c r="B840" t="str">
        <f>IF(F840=2020,INDEX(SOC2020_Structure!E:E,MATCH(sectorLookup!A840,SOC2020_Structure!D:D,0)),INDEX(SOC2010_Structure!E:E,MATCH(sectorLookup!A840,SOC2010_Structure!D:D,0)))</f>
        <v>Planning, process and production technicians</v>
      </c>
      <c r="C840" t="s">
        <v>683</v>
      </c>
      <c r="D840" t="str">
        <f>INDEX('group info'!B:B,MATCH(sectorLookup!C840,'group info'!A:A,0))</f>
        <v>STEM</v>
      </c>
      <c r="E840" t="s">
        <v>322</v>
      </c>
      <c r="F840">
        <v>2010</v>
      </c>
      <c r="G840" t="str">
        <f t="shared" si="13"/>
        <v>STEM SOC2010</v>
      </c>
    </row>
    <row r="841" spans="1:7" x14ac:dyDescent="0.35">
      <c r="A841">
        <v>3119</v>
      </c>
      <c r="B841" t="str">
        <f>IF(F841=2020,INDEX(SOC2020_Structure!E:E,MATCH(sectorLookup!A841,SOC2020_Structure!D:D,0)),INDEX(SOC2010_Structure!E:E,MATCH(sectorLookup!A841,SOC2010_Structure!D:D,0)))</f>
        <v>Science, engineering and production technicians n.e.c.</v>
      </c>
      <c r="C841" t="s">
        <v>683</v>
      </c>
      <c r="D841" t="str">
        <f>INDEX('group info'!B:B,MATCH(sectorLookup!C841,'group info'!A:A,0))</f>
        <v>STEM</v>
      </c>
      <c r="E841" t="s">
        <v>322</v>
      </c>
      <c r="F841">
        <v>2010</v>
      </c>
      <c r="G841" t="str">
        <f t="shared" si="13"/>
        <v>STEM SOC2010</v>
      </c>
    </row>
    <row r="842" spans="1:7" x14ac:dyDescent="0.35">
      <c r="A842">
        <v>3121</v>
      </c>
      <c r="B842" t="str">
        <f>IF(F842=2020,INDEX(SOC2020_Structure!E:E,MATCH(sectorLookup!A842,SOC2020_Structure!D:D,0)),INDEX(SOC2010_Structure!E:E,MATCH(sectorLookup!A842,SOC2010_Structure!D:D,0)))</f>
        <v>Architectural and town planning technicians</v>
      </c>
      <c r="C842" t="s">
        <v>683</v>
      </c>
      <c r="D842" t="str">
        <f>INDEX('group info'!B:B,MATCH(sectorLookup!C842,'group info'!A:A,0))</f>
        <v>STEM</v>
      </c>
      <c r="E842" t="s">
        <v>322</v>
      </c>
      <c r="F842">
        <v>2010</v>
      </c>
      <c r="G842" t="str">
        <f t="shared" si="13"/>
        <v>STEM SOC2010</v>
      </c>
    </row>
    <row r="843" spans="1:7" x14ac:dyDescent="0.35">
      <c r="A843">
        <v>3122</v>
      </c>
      <c r="B843" t="str">
        <f>IF(F843=2020,INDEX(SOC2020_Structure!E:E,MATCH(sectorLookup!A843,SOC2020_Structure!D:D,0)),INDEX(SOC2010_Structure!E:E,MATCH(sectorLookup!A843,SOC2010_Structure!D:D,0)))</f>
        <v>Draughtspersons</v>
      </c>
      <c r="C843" t="s">
        <v>683</v>
      </c>
      <c r="D843" t="str">
        <f>INDEX('group info'!B:B,MATCH(sectorLookup!C843,'group info'!A:A,0))</f>
        <v>STEM</v>
      </c>
      <c r="E843" t="s">
        <v>322</v>
      </c>
      <c r="F843">
        <v>2010</v>
      </c>
      <c r="G843" t="str">
        <f t="shared" si="13"/>
        <v>STEM SOC2010</v>
      </c>
    </row>
    <row r="844" spans="1:7" x14ac:dyDescent="0.35">
      <c r="A844">
        <v>3131</v>
      </c>
      <c r="B844" t="str">
        <f>IF(F844=2020,INDEX(SOC2020_Structure!E:E,MATCH(sectorLookup!A844,SOC2020_Structure!D:D,0)),INDEX(SOC2010_Structure!E:E,MATCH(sectorLookup!A844,SOC2010_Structure!D:D,0)))</f>
        <v>IT operations technicians</v>
      </c>
      <c r="C844" t="s">
        <v>683</v>
      </c>
      <c r="D844" t="str">
        <f>INDEX('group info'!B:B,MATCH(sectorLookup!C844,'group info'!A:A,0))</f>
        <v>STEM</v>
      </c>
      <c r="E844" t="s">
        <v>322</v>
      </c>
      <c r="F844">
        <v>2010</v>
      </c>
      <c r="G844" t="str">
        <f t="shared" si="13"/>
        <v>STEM SOC2010</v>
      </c>
    </row>
    <row r="845" spans="1:7" x14ac:dyDescent="0.35">
      <c r="A845">
        <v>3132</v>
      </c>
      <c r="B845" t="str">
        <f>IF(F845=2020,INDEX(SOC2020_Structure!E:E,MATCH(sectorLookup!A845,SOC2020_Structure!D:D,0)),INDEX(SOC2010_Structure!E:E,MATCH(sectorLookup!A845,SOC2010_Structure!D:D,0)))</f>
        <v>IT user support technicians</v>
      </c>
      <c r="C845" t="s">
        <v>683</v>
      </c>
      <c r="D845" t="str">
        <f>INDEX('group info'!B:B,MATCH(sectorLookup!C845,'group info'!A:A,0))</f>
        <v>STEM</v>
      </c>
      <c r="E845" t="s">
        <v>322</v>
      </c>
      <c r="F845">
        <v>2010</v>
      </c>
      <c r="G845" t="str">
        <f t="shared" si="13"/>
        <v>STEM SOC2010</v>
      </c>
    </row>
    <row r="846" spans="1:7" x14ac:dyDescent="0.35">
      <c r="A846">
        <v>3311</v>
      </c>
      <c r="B846" t="str">
        <f>IF(F846=2020,INDEX(SOC2020_Structure!E:E,MATCH(sectorLookup!A846,SOC2020_Structure!D:D,0)),INDEX(SOC2010_Structure!E:E,MATCH(sectorLookup!A846,SOC2010_Structure!D:D,0)))</f>
        <v>NCOs and other ranks</v>
      </c>
      <c r="C846" t="s">
        <v>683</v>
      </c>
      <c r="D846" t="str">
        <f>INDEX('group info'!B:B,MATCH(sectorLookup!C846,'group info'!A:A,0))</f>
        <v>STEM</v>
      </c>
      <c r="E846" t="s">
        <v>322</v>
      </c>
      <c r="F846">
        <v>2010</v>
      </c>
      <c r="G846" t="str">
        <f t="shared" si="13"/>
        <v>STEM SOC2010</v>
      </c>
    </row>
    <row r="847" spans="1:7" x14ac:dyDescent="0.35">
      <c r="A847">
        <v>3313</v>
      </c>
      <c r="B847" t="str">
        <f>IF(F847=2020,INDEX(SOC2020_Structure!E:E,MATCH(sectorLookup!A847,SOC2020_Structure!D:D,0)),INDEX(SOC2010_Structure!E:E,MATCH(sectorLookup!A847,SOC2010_Structure!D:D,0)))</f>
        <v>Fire service officers (watch manager and below)</v>
      </c>
      <c r="C847" t="s">
        <v>683</v>
      </c>
      <c r="D847" t="str">
        <f>INDEX('group info'!B:B,MATCH(sectorLookup!C847,'group info'!A:A,0))</f>
        <v>STEM</v>
      </c>
      <c r="E847" t="s">
        <v>322</v>
      </c>
      <c r="F847">
        <v>2010</v>
      </c>
      <c r="G847" t="str">
        <f t="shared" si="13"/>
        <v>STEM SOC2010</v>
      </c>
    </row>
    <row r="848" spans="1:7" x14ac:dyDescent="0.35">
      <c r="A848">
        <v>3417</v>
      </c>
      <c r="B848" t="str">
        <f>IF(F848=2020,INDEX(SOC2020_Structure!E:E,MATCH(sectorLookup!A848,SOC2020_Structure!D:D,0)),INDEX(SOC2010_Structure!E:E,MATCH(sectorLookup!A848,SOC2010_Structure!D:D,0)))</f>
        <v>Photographers, audio-visual and broadcasting equipment operators</v>
      </c>
      <c r="C848" t="s">
        <v>683</v>
      </c>
      <c r="D848" t="str">
        <f>INDEX('group info'!B:B,MATCH(sectorLookup!C848,'group info'!A:A,0))</f>
        <v>STEM</v>
      </c>
      <c r="E848" t="s">
        <v>322</v>
      </c>
      <c r="F848">
        <v>2010</v>
      </c>
      <c r="G848" t="str">
        <f t="shared" si="13"/>
        <v>STEM SOC2010</v>
      </c>
    </row>
    <row r="849" spans="1:7" x14ac:dyDescent="0.35">
      <c r="A849">
        <v>3421</v>
      </c>
      <c r="B849" t="str">
        <f>IF(F849=2020,INDEX(SOC2020_Structure!E:E,MATCH(sectorLookup!A849,SOC2020_Structure!D:D,0)),INDEX(SOC2010_Structure!E:E,MATCH(sectorLookup!A849,SOC2010_Structure!D:D,0)))</f>
        <v>Graphic designers</v>
      </c>
      <c r="C849" t="s">
        <v>683</v>
      </c>
      <c r="D849" t="str">
        <f>INDEX('group info'!B:B,MATCH(sectorLookup!C849,'group info'!A:A,0))</f>
        <v>STEM</v>
      </c>
      <c r="E849" t="s">
        <v>322</v>
      </c>
      <c r="F849">
        <v>2010</v>
      </c>
      <c r="G849" t="str">
        <f t="shared" si="13"/>
        <v>STEM SOC2010</v>
      </c>
    </row>
    <row r="850" spans="1:7" x14ac:dyDescent="0.35">
      <c r="A850">
        <v>3511</v>
      </c>
      <c r="B850" t="str">
        <f>IF(F850=2020,INDEX(SOC2020_Structure!E:E,MATCH(sectorLookup!A850,SOC2020_Structure!D:D,0)),INDEX(SOC2010_Structure!E:E,MATCH(sectorLookup!A850,SOC2010_Structure!D:D,0)))</f>
        <v>Air traffic controllers</v>
      </c>
      <c r="C850" t="s">
        <v>683</v>
      </c>
      <c r="D850" t="str">
        <f>INDEX('group info'!B:B,MATCH(sectorLookup!C850,'group info'!A:A,0))</f>
        <v>STEM</v>
      </c>
      <c r="E850" t="s">
        <v>322</v>
      </c>
      <c r="F850">
        <v>2010</v>
      </c>
      <c r="G850" t="str">
        <f t="shared" si="13"/>
        <v>STEM SOC2010</v>
      </c>
    </row>
    <row r="851" spans="1:7" x14ac:dyDescent="0.35">
      <c r="A851">
        <v>3512</v>
      </c>
      <c r="B851" t="str">
        <f>IF(F851=2020,INDEX(SOC2020_Structure!E:E,MATCH(sectorLookup!A851,SOC2020_Structure!D:D,0)),INDEX(SOC2010_Structure!E:E,MATCH(sectorLookup!A851,SOC2010_Structure!D:D,0)))</f>
        <v>Aircraft pilots and flight engineers</v>
      </c>
      <c r="C851" t="s">
        <v>683</v>
      </c>
      <c r="D851" t="str">
        <f>INDEX('group info'!B:B,MATCH(sectorLookup!C851,'group info'!A:A,0))</f>
        <v>STEM</v>
      </c>
      <c r="E851" t="s">
        <v>322</v>
      </c>
      <c r="F851">
        <v>2010</v>
      </c>
      <c r="G851" t="str">
        <f t="shared" si="13"/>
        <v>STEM SOC2010</v>
      </c>
    </row>
    <row r="852" spans="1:7" x14ac:dyDescent="0.35">
      <c r="A852">
        <v>3513</v>
      </c>
      <c r="B852" t="str">
        <f>IF(F852=2020,INDEX(SOC2020_Structure!E:E,MATCH(sectorLookup!A852,SOC2020_Structure!D:D,0)),INDEX(SOC2010_Structure!E:E,MATCH(sectorLookup!A852,SOC2010_Structure!D:D,0)))</f>
        <v>Ship and hovercraft officers</v>
      </c>
      <c r="C852" t="s">
        <v>683</v>
      </c>
      <c r="D852" t="str">
        <f>INDEX('group info'!B:B,MATCH(sectorLookup!C852,'group info'!A:A,0))</f>
        <v>STEM</v>
      </c>
      <c r="E852" t="s">
        <v>322</v>
      </c>
      <c r="F852">
        <v>2010</v>
      </c>
      <c r="G852" t="str">
        <f t="shared" si="13"/>
        <v>STEM SOC2010</v>
      </c>
    </row>
    <row r="853" spans="1:7" x14ac:dyDescent="0.35">
      <c r="A853">
        <v>3531</v>
      </c>
      <c r="B853" t="str">
        <f>IF(F853=2020,INDEX(SOC2020_Structure!E:E,MATCH(sectorLookup!A853,SOC2020_Structure!D:D,0)),INDEX(SOC2010_Structure!E:E,MATCH(sectorLookup!A853,SOC2010_Structure!D:D,0)))</f>
        <v>Estimators, valuers and assessors</v>
      </c>
      <c r="C853" t="s">
        <v>683</v>
      </c>
      <c r="D853" t="str">
        <f>INDEX('group info'!B:B,MATCH(sectorLookup!C853,'group info'!A:A,0))</f>
        <v>STEM</v>
      </c>
      <c r="E853" t="s">
        <v>322</v>
      </c>
      <c r="F853">
        <v>2010</v>
      </c>
      <c r="G853" t="str">
        <f t="shared" si="13"/>
        <v>STEM SOC2010</v>
      </c>
    </row>
    <row r="854" spans="1:7" x14ac:dyDescent="0.35">
      <c r="A854">
        <v>3532</v>
      </c>
      <c r="B854" t="str">
        <f>IF(F854=2020,INDEX(SOC2020_Structure!E:E,MATCH(sectorLookup!A854,SOC2020_Structure!D:D,0)),INDEX(SOC2010_Structure!E:E,MATCH(sectorLookup!A854,SOC2010_Structure!D:D,0)))</f>
        <v>Brokers</v>
      </c>
      <c r="C854" t="s">
        <v>683</v>
      </c>
      <c r="D854" t="str">
        <f>INDEX('group info'!B:B,MATCH(sectorLookup!C854,'group info'!A:A,0))</f>
        <v>STEM</v>
      </c>
      <c r="E854" t="s">
        <v>322</v>
      </c>
      <c r="F854">
        <v>2010</v>
      </c>
      <c r="G854" t="str">
        <f t="shared" si="13"/>
        <v>STEM SOC2010</v>
      </c>
    </row>
    <row r="855" spans="1:7" x14ac:dyDescent="0.35">
      <c r="A855">
        <v>3533</v>
      </c>
      <c r="B855" t="str">
        <f>IF(F855=2020,INDEX(SOC2020_Structure!E:E,MATCH(sectorLookup!A855,SOC2020_Structure!D:D,0)),INDEX(SOC2010_Structure!E:E,MATCH(sectorLookup!A855,SOC2010_Structure!D:D,0)))</f>
        <v>Insurance underwriters</v>
      </c>
      <c r="C855" t="s">
        <v>683</v>
      </c>
      <c r="D855" t="str">
        <f>INDEX('group info'!B:B,MATCH(sectorLookup!C855,'group info'!A:A,0))</f>
        <v>STEM</v>
      </c>
      <c r="E855" t="s">
        <v>322</v>
      </c>
      <c r="F855">
        <v>2010</v>
      </c>
      <c r="G855" t="str">
        <f t="shared" si="13"/>
        <v>STEM SOC2010</v>
      </c>
    </row>
    <row r="856" spans="1:7" x14ac:dyDescent="0.35">
      <c r="A856">
        <v>3534</v>
      </c>
      <c r="B856" t="str">
        <f>IF(F856=2020,INDEX(SOC2020_Structure!E:E,MATCH(sectorLookup!A856,SOC2020_Structure!D:D,0)),INDEX(SOC2010_Structure!E:E,MATCH(sectorLookup!A856,SOC2010_Structure!D:D,0)))</f>
        <v>Finance and investment analysts and advisers</v>
      </c>
      <c r="C856" t="s">
        <v>683</v>
      </c>
      <c r="D856" t="str">
        <f>INDEX('group info'!B:B,MATCH(sectorLookup!C856,'group info'!A:A,0))</f>
        <v>STEM</v>
      </c>
      <c r="E856" t="s">
        <v>322</v>
      </c>
      <c r="F856">
        <v>2010</v>
      </c>
      <c r="G856" t="str">
        <f t="shared" si="13"/>
        <v>STEM SOC2010</v>
      </c>
    </row>
    <row r="857" spans="1:7" x14ac:dyDescent="0.35">
      <c r="A857">
        <v>3535</v>
      </c>
      <c r="B857" t="str">
        <f>IF(F857=2020,INDEX(SOC2020_Structure!E:E,MATCH(sectorLookup!A857,SOC2020_Structure!D:D,0)),INDEX(SOC2010_Structure!E:E,MATCH(sectorLookup!A857,SOC2010_Structure!D:D,0)))</f>
        <v>Taxation experts</v>
      </c>
      <c r="C857" t="s">
        <v>683</v>
      </c>
      <c r="D857" t="str">
        <f>INDEX('group info'!B:B,MATCH(sectorLookup!C857,'group info'!A:A,0))</f>
        <v>STEM</v>
      </c>
      <c r="E857" t="s">
        <v>322</v>
      </c>
      <c r="F857">
        <v>2010</v>
      </c>
      <c r="G857" t="str">
        <f t="shared" si="13"/>
        <v>STEM SOC2010</v>
      </c>
    </row>
    <row r="858" spans="1:7" x14ac:dyDescent="0.35">
      <c r="A858">
        <v>3537</v>
      </c>
      <c r="B858" t="str">
        <f>IF(F858=2020,INDEX(SOC2020_Structure!E:E,MATCH(sectorLookup!A858,SOC2020_Structure!D:D,0)),INDEX(SOC2010_Structure!E:E,MATCH(sectorLookup!A858,SOC2010_Structure!D:D,0)))</f>
        <v>Financial and accounting technicians</v>
      </c>
      <c r="C858" t="s">
        <v>683</v>
      </c>
      <c r="D858" t="str">
        <f>INDEX('group info'!B:B,MATCH(sectorLookup!C858,'group info'!A:A,0))</f>
        <v>STEM</v>
      </c>
      <c r="E858" t="s">
        <v>322</v>
      </c>
      <c r="F858">
        <v>2010</v>
      </c>
      <c r="G858" t="str">
        <f t="shared" si="13"/>
        <v>STEM SOC2010</v>
      </c>
    </row>
    <row r="859" spans="1:7" x14ac:dyDescent="0.35">
      <c r="A859">
        <v>3565</v>
      </c>
      <c r="B859" t="str">
        <f>IF(F859=2020,INDEX(SOC2020_Structure!E:E,MATCH(sectorLookup!A859,SOC2020_Structure!D:D,0)),INDEX(SOC2010_Structure!E:E,MATCH(sectorLookup!A859,SOC2010_Structure!D:D,0)))</f>
        <v>Inspectors of standards and regulations</v>
      </c>
      <c r="C859" t="s">
        <v>683</v>
      </c>
      <c r="D859" t="str">
        <f>INDEX('group info'!B:B,MATCH(sectorLookup!C859,'group info'!A:A,0))</f>
        <v>STEM</v>
      </c>
      <c r="E859" t="s">
        <v>322</v>
      </c>
      <c r="F859">
        <v>2010</v>
      </c>
      <c r="G859" t="str">
        <f t="shared" si="13"/>
        <v>STEM SOC2010</v>
      </c>
    </row>
    <row r="860" spans="1:7" x14ac:dyDescent="0.35">
      <c r="A860">
        <v>3567</v>
      </c>
      <c r="B860" t="str">
        <f>IF(F860=2020,INDEX(SOC2020_Structure!E:E,MATCH(sectorLookup!A860,SOC2020_Structure!D:D,0)),INDEX(SOC2010_Structure!E:E,MATCH(sectorLookup!A860,SOC2010_Structure!D:D,0)))</f>
        <v>Health and safety officers</v>
      </c>
      <c r="C860" t="s">
        <v>683</v>
      </c>
      <c r="D860" t="str">
        <f>INDEX('group info'!B:B,MATCH(sectorLookup!C860,'group info'!A:A,0))</f>
        <v>STEM</v>
      </c>
      <c r="E860" t="s">
        <v>322</v>
      </c>
      <c r="F860">
        <v>2010</v>
      </c>
      <c r="G860" t="str">
        <f t="shared" si="13"/>
        <v>STEM SOC2010</v>
      </c>
    </row>
    <row r="861" spans="1:7" x14ac:dyDescent="0.35">
      <c r="A861">
        <v>4121</v>
      </c>
      <c r="B861" t="str">
        <f>IF(F861=2020,INDEX(SOC2020_Structure!E:E,MATCH(sectorLookup!A861,SOC2020_Structure!D:D,0)),INDEX(SOC2010_Structure!E:E,MATCH(sectorLookup!A861,SOC2010_Structure!D:D,0)))</f>
        <v>Credit controllers</v>
      </c>
      <c r="C861" t="s">
        <v>683</v>
      </c>
      <c r="D861" t="str">
        <f>INDEX('group info'!B:B,MATCH(sectorLookup!C861,'group info'!A:A,0))</f>
        <v>STEM</v>
      </c>
      <c r="E861" t="s">
        <v>322</v>
      </c>
      <c r="F861">
        <v>2010</v>
      </c>
      <c r="G861" t="str">
        <f t="shared" si="13"/>
        <v>STEM SOC2010</v>
      </c>
    </row>
    <row r="862" spans="1:7" x14ac:dyDescent="0.35">
      <c r="A862">
        <v>4122</v>
      </c>
      <c r="B862" t="str">
        <f>IF(F862=2020,INDEX(SOC2020_Structure!E:E,MATCH(sectorLookup!A862,SOC2020_Structure!D:D,0)),INDEX(SOC2010_Structure!E:E,MATCH(sectorLookup!A862,SOC2010_Structure!D:D,0)))</f>
        <v>Book-keepers, payroll managers and wages clerks</v>
      </c>
      <c r="C862" t="s">
        <v>683</v>
      </c>
      <c r="D862" t="str">
        <f>INDEX('group info'!B:B,MATCH(sectorLookup!C862,'group info'!A:A,0))</f>
        <v>STEM</v>
      </c>
      <c r="E862" t="s">
        <v>322</v>
      </c>
      <c r="F862">
        <v>2010</v>
      </c>
      <c r="G862" t="str">
        <f t="shared" si="13"/>
        <v>STEM SOC2010</v>
      </c>
    </row>
    <row r="863" spans="1:7" x14ac:dyDescent="0.35">
      <c r="A863">
        <v>4124</v>
      </c>
      <c r="B863" t="str">
        <f>IF(F863=2020,INDEX(SOC2020_Structure!E:E,MATCH(sectorLookup!A863,SOC2020_Structure!D:D,0)),INDEX(SOC2010_Structure!E:E,MATCH(sectorLookup!A863,SOC2010_Structure!D:D,0)))</f>
        <v>Finance officers</v>
      </c>
      <c r="C863" t="s">
        <v>683</v>
      </c>
      <c r="D863" t="str">
        <f>INDEX('group info'!B:B,MATCH(sectorLookup!C863,'group info'!A:A,0))</f>
        <v>STEM</v>
      </c>
      <c r="E863" t="s">
        <v>322</v>
      </c>
      <c r="F863">
        <v>2010</v>
      </c>
      <c r="G863" t="str">
        <f t="shared" si="13"/>
        <v>STEM SOC2010</v>
      </c>
    </row>
    <row r="864" spans="1:7" x14ac:dyDescent="0.35">
      <c r="A864">
        <v>4129</v>
      </c>
      <c r="B864" t="str">
        <f>IF(F864=2020,INDEX(SOC2020_Structure!E:E,MATCH(sectorLookup!A864,SOC2020_Structure!D:D,0)),INDEX(SOC2010_Structure!E:E,MATCH(sectorLookup!A864,SOC2010_Structure!D:D,0)))</f>
        <v>Financial administrative occupations n.e.c.</v>
      </c>
      <c r="C864" t="s">
        <v>683</v>
      </c>
      <c r="D864" t="str">
        <f>INDEX('group info'!B:B,MATCH(sectorLookup!C864,'group info'!A:A,0))</f>
        <v>STEM</v>
      </c>
      <c r="E864" t="s">
        <v>322</v>
      </c>
      <c r="F864">
        <v>2010</v>
      </c>
      <c r="G864" t="str">
        <f t="shared" si="13"/>
        <v>STEM SOC2010</v>
      </c>
    </row>
    <row r="865" spans="1:7" x14ac:dyDescent="0.35">
      <c r="A865">
        <v>5211</v>
      </c>
      <c r="B865" t="str">
        <f>IF(F865=2020,INDEX(SOC2020_Structure!E:E,MATCH(sectorLookup!A865,SOC2020_Structure!D:D,0)),INDEX(SOC2010_Structure!E:E,MATCH(sectorLookup!A865,SOC2010_Structure!D:D,0)))</f>
        <v>Smiths and forge workers</v>
      </c>
      <c r="C865" t="s">
        <v>683</v>
      </c>
      <c r="D865" t="str">
        <f>INDEX('group info'!B:B,MATCH(sectorLookup!C865,'group info'!A:A,0))</f>
        <v>STEM</v>
      </c>
      <c r="E865" t="s">
        <v>322</v>
      </c>
      <c r="F865">
        <v>2010</v>
      </c>
      <c r="G865" t="str">
        <f t="shared" si="13"/>
        <v>STEM SOC2010</v>
      </c>
    </row>
    <row r="866" spans="1:7" x14ac:dyDescent="0.35">
      <c r="A866">
        <v>5212</v>
      </c>
      <c r="B866" t="str">
        <f>IF(F866=2020,INDEX(SOC2020_Structure!E:E,MATCH(sectorLookup!A866,SOC2020_Structure!D:D,0)),INDEX(SOC2010_Structure!E:E,MATCH(sectorLookup!A866,SOC2010_Structure!D:D,0)))</f>
        <v>Moulders, core makers and die casters</v>
      </c>
      <c r="C866" t="s">
        <v>683</v>
      </c>
      <c r="D866" t="str">
        <f>INDEX('group info'!B:B,MATCH(sectorLookup!C866,'group info'!A:A,0))</f>
        <v>STEM</v>
      </c>
      <c r="E866" t="s">
        <v>322</v>
      </c>
      <c r="F866">
        <v>2010</v>
      </c>
      <c r="G866" t="str">
        <f t="shared" si="13"/>
        <v>STEM SOC2010</v>
      </c>
    </row>
    <row r="867" spans="1:7" x14ac:dyDescent="0.35">
      <c r="A867">
        <v>5213</v>
      </c>
      <c r="B867" t="str">
        <f>IF(F867=2020,INDEX(SOC2020_Structure!E:E,MATCH(sectorLookup!A867,SOC2020_Structure!D:D,0)),INDEX(SOC2010_Structure!E:E,MATCH(sectorLookup!A867,SOC2010_Structure!D:D,0)))</f>
        <v>Sheet metal workers</v>
      </c>
      <c r="C867" t="s">
        <v>683</v>
      </c>
      <c r="D867" t="str">
        <f>INDEX('group info'!B:B,MATCH(sectorLookup!C867,'group info'!A:A,0))</f>
        <v>STEM</v>
      </c>
      <c r="E867" t="s">
        <v>322</v>
      </c>
      <c r="F867">
        <v>2010</v>
      </c>
      <c r="G867" t="str">
        <f t="shared" si="13"/>
        <v>STEM SOC2010</v>
      </c>
    </row>
    <row r="868" spans="1:7" x14ac:dyDescent="0.35">
      <c r="A868">
        <v>5214</v>
      </c>
      <c r="B868" t="str">
        <f>IF(F868=2020,INDEX(SOC2020_Structure!E:E,MATCH(sectorLookup!A868,SOC2020_Structure!D:D,0)),INDEX(SOC2010_Structure!E:E,MATCH(sectorLookup!A868,SOC2010_Structure!D:D,0)))</f>
        <v>Metal plate workers, and riveters</v>
      </c>
      <c r="C868" t="s">
        <v>683</v>
      </c>
      <c r="D868" t="str">
        <f>INDEX('group info'!B:B,MATCH(sectorLookup!C868,'group info'!A:A,0))</f>
        <v>STEM</v>
      </c>
      <c r="E868" t="s">
        <v>322</v>
      </c>
      <c r="F868">
        <v>2010</v>
      </c>
      <c r="G868" t="str">
        <f t="shared" si="13"/>
        <v>STEM SOC2010</v>
      </c>
    </row>
    <row r="869" spans="1:7" x14ac:dyDescent="0.35">
      <c r="A869">
        <v>5215</v>
      </c>
      <c r="B869" t="str">
        <f>IF(F869=2020,INDEX(SOC2020_Structure!E:E,MATCH(sectorLookup!A869,SOC2020_Structure!D:D,0)),INDEX(SOC2010_Structure!E:E,MATCH(sectorLookup!A869,SOC2010_Structure!D:D,0)))</f>
        <v>Welding trades</v>
      </c>
      <c r="C869" t="s">
        <v>683</v>
      </c>
      <c r="D869" t="str">
        <f>INDEX('group info'!B:B,MATCH(sectorLookup!C869,'group info'!A:A,0))</f>
        <v>STEM</v>
      </c>
      <c r="E869" t="s">
        <v>322</v>
      </c>
      <c r="F869">
        <v>2010</v>
      </c>
      <c r="G869" t="str">
        <f t="shared" si="13"/>
        <v>STEM SOC2010</v>
      </c>
    </row>
    <row r="870" spans="1:7" x14ac:dyDescent="0.35">
      <c r="A870">
        <v>5216</v>
      </c>
      <c r="B870" t="str">
        <f>IF(F870=2020,INDEX(SOC2020_Structure!E:E,MATCH(sectorLookup!A870,SOC2020_Structure!D:D,0)),INDEX(SOC2010_Structure!E:E,MATCH(sectorLookup!A870,SOC2010_Structure!D:D,0)))</f>
        <v>Pipe fitters</v>
      </c>
      <c r="C870" t="s">
        <v>683</v>
      </c>
      <c r="D870" t="str">
        <f>INDEX('group info'!B:B,MATCH(sectorLookup!C870,'group info'!A:A,0))</f>
        <v>STEM</v>
      </c>
      <c r="E870" t="s">
        <v>322</v>
      </c>
      <c r="F870">
        <v>2010</v>
      </c>
      <c r="G870" t="str">
        <f t="shared" si="13"/>
        <v>STEM SOC2010</v>
      </c>
    </row>
    <row r="871" spans="1:7" x14ac:dyDescent="0.35">
      <c r="A871">
        <v>5221</v>
      </c>
      <c r="B871" t="str">
        <f>IF(F871=2020,INDEX(SOC2020_Structure!E:E,MATCH(sectorLookup!A871,SOC2020_Structure!D:D,0)),INDEX(SOC2010_Structure!E:E,MATCH(sectorLookup!A871,SOC2010_Structure!D:D,0)))</f>
        <v>Metal machining setters and setter-operators</v>
      </c>
      <c r="C871" t="s">
        <v>683</v>
      </c>
      <c r="D871" t="str">
        <f>INDEX('group info'!B:B,MATCH(sectorLookup!C871,'group info'!A:A,0))</f>
        <v>STEM</v>
      </c>
      <c r="E871" t="s">
        <v>322</v>
      </c>
      <c r="F871">
        <v>2010</v>
      </c>
      <c r="G871" t="str">
        <f t="shared" si="13"/>
        <v>STEM SOC2010</v>
      </c>
    </row>
    <row r="872" spans="1:7" x14ac:dyDescent="0.35">
      <c r="A872">
        <v>5222</v>
      </c>
      <c r="B872" t="str">
        <f>IF(F872=2020,INDEX(SOC2020_Structure!E:E,MATCH(sectorLookup!A872,SOC2020_Structure!D:D,0)),INDEX(SOC2010_Structure!E:E,MATCH(sectorLookup!A872,SOC2010_Structure!D:D,0)))</f>
        <v>Tool makers, tool fitters and markers-out</v>
      </c>
      <c r="C872" t="s">
        <v>683</v>
      </c>
      <c r="D872" t="str">
        <f>INDEX('group info'!B:B,MATCH(sectorLookup!C872,'group info'!A:A,0))</f>
        <v>STEM</v>
      </c>
      <c r="E872" t="s">
        <v>322</v>
      </c>
      <c r="F872">
        <v>2010</v>
      </c>
      <c r="G872" t="str">
        <f t="shared" si="13"/>
        <v>STEM SOC2010</v>
      </c>
    </row>
    <row r="873" spans="1:7" x14ac:dyDescent="0.35">
      <c r="A873">
        <v>5223</v>
      </c>
      <c r="B873" t="str">
        <f>IF(F873=2020,INDEX(SOC2020_Structure!E:E,MATCH(sectorLookup!A873,SOC2020_Structure!D:D,0)),INDEX(SOC2010_Structure!E:E,MATCH(sectorLookup!A873,SOC2010_Structure!D:D,0)))</f>
        <v>Metal working production and maintenance fitters</v>
      </c>
      <c r="C873" t="s">
        <v>683</v>
      </c>
      <c r="D873" t="str">
        <f>INDEX('group info'!B:B,MATCH(sectorLookup!C873,'group info'!A:A,0))</f>
        <v>STEM</v>
      </c>
      <c r="E873" t="s">
        <v>322</v>
      </c>
      <c r="F873">
        <v>2010</v>
      </c>
      <c r="G873" t="str">
        <f t="shared" si="13"/>
        <v>STEM SOC2010</v>
      </c>
    </row>
    <row r="874" spans="1:7" x14ac:dyDescent="0.35">
      <c r="A874">
        <v>5224</v>
      </c>
      <c r="B874" t="str">
        <f>IF(F874=2020,INDEX(SOC2020_Structure!E:E,MATCH(sectorLookup!A874,SOC2020_Structure!D:D,0)),INDEX(SOC2010_Structure!E:E,MATCH(sectorLookup!A874,SOC2010_Structure!D:D,0)))</f>
        <v>Precision instrument makers and repairers</v>
      </c>
      <c r="C874" t="s">
        <v>683</v>
      </c>
      <c r="D874" t="str">
        <f>INDEX('group info'!B:B,MATCH(sectorLookup!C874,'group info'!A:A,0))</f>
        <v>STEM</v>
      </c>
      <c r="E874" t="s">
        <v>322</v>
      </c>
      <c r="F874">
        <v>2010</v>
      </c>
      <c r="G874" t="str">
        <f t="shared" si="13"/>
        <v>STEM SOC2010</v>
      </c>
    </row>
    <row r="875" spans="1:7" x14ac:dyDescent="0.35">
      <c r="A875">
        <v>5225</v>
      </c>
      <c r="B875" t="str">
        <f>IF(F875=2020,INDEX(SOC2020_Structure!E:E,MATCH(sectorLookup!A875,SOC2020_Structure!D:D,0)),INDEX(SOC2010_Structure!E:E,MATCH(sectorLookup!A875,SOC2010_Structure!D:D,0)))</f>
        <v>Air-conditioning and refrigeration engineers</v>
      </c>
      <c r="C875" t="s">
        <v>683</v>
      </c>
      <c r="D875" t="str">
        <f>INDEX('group info'!B:B,MATCH(sectorLookup!C875,'group info'!A:A,0))</f>
        <v>STEM</v>
      </c>
      <c r="E875" t="s">
        <v>322</v>
      </c>
      <c r="F875">
        <v>2010</v>
      </c>
      <c r="G875" t="str">
        <f t="shared" si="13"/>
        <v>STEM SOC2010</v>
      </c>
    </row>
    <row r="876" spans="1:7" x14ac:dyDescent="0.35">
      <c r="A876">
        <v>5231</v>
      </c>
      <c r="B876" t="str">
        <f>IF(F876=2020,INDEX(SOC2020_Structure!E:E,MATCH(sectorLookup!A876,SOC2020_Structure!D:D,0)),INDEX(SOC2010_Structure!E:E,MATCH(sectorLookup!A876,SOC2010_Structure!D:D,0)))</f>
        <v>Vehicle technicians, mechanics and electricians</v>
      </c>
      <c r="C876" t="s">
        <v>683</v>
      </c>
      <c r="D876" t="str">
        <f>INDEX('group info'!B:B,MATCH(sectorLookup!C876,'group info'!A:A,0))</f>
        <v>STEM</v>
      </c>
      <c r="E876" t="s">
        <v>322</v>
      </c>
      <c r="F876">
        <v>2010</v>
      </c>
      <c r="G876" t="str">
        <f t="shared" si="13"/>
        <v>STEM SOC2010</v>
      </c>
    </row>
    <row r="877" spans="1:7" x14ac:dyDescent="0.35">
      <c r="A877">
        <v>5232</v>
      </c>
      <c r="B877" t="str">
        <f>IF(F877=2020,INDEX(SOC2020_Structure!E:E,MATCH(sectorLookup!A877,SOC2020_Structure!D:D,0)),INDEX(SOC2010_Structure!E:E,MATCH(sectorLookup!A877,SOC2010_Structure!D:D,0)))</f>
        <v xml:space="preserve">Vehicle body builders and repairers </v>
      </c>
      <c r="C877" t="s">
        <v>683</v>
      </c>
      <c r="D877" t="str">
        <f>INDEX('group info'!B:B,MATCH(sectorLookup!C877,'group info'!A:A,0))</f>
        <v>STEM</v>
      </c>
      <c r="E877" t="s">
        <v>322</v>
      </c>
      <c r="F877">
        <v>2010</v>
      </c>
      <c r="G877" t="str">
        <f t="shared" si="13"/>
        <v>STEM SOC2010</v>
      </c>
    </row>
    <row r="878" spans="1:7" x14ac:dyDescent="0.35">
      <c r="A878">
        <v>5234</v>
      </c>
      <c r="B878" t="str">
        <f>IF(F878=2020,INDEX(SOC2020_Structure!E:E,MATCH(sectorLookup!A878,SOC2020_Structure!D:D,0)),INDEX(SOC2010_Structure!E:E,MATCH(sectorLookup!A878,SOC2010_Structure!D:D,0)))</f>
        <v>Vehicle paint technicians</v>
      </c>
      <c r="C878" t="s">
        <v>683</v>
      </c>
      <c r="D878" t="str">
        <f>INDEX('group info'!B:B,MATCH(sectorLookup!C878,'group info'!A:A,0))</f>
        <v>STEM</v>
      </c>
      <c r="E878" t="s">
        <v>322</v>
      </c>
      <c r="F878">
        <v>2010</v>
      </c>
      <c r="G878" t="str">
        <f t="shared" si="13"/>
        <v>STEM SOC2010</v>
      </c>
    </row>
    <row r="879" spans="1:7" x14ac:dyDescent="0.35">
      <c r="A879">
        <v>5235</v>
      </c>
      <c r="B879" t="str">
        <f>IF(F879=2020,INDEX(SOC2020_Structure!E:E,MATCH(sectorLookup!A879,SOC2020_Structure!D:D,0)),INDEX(SOC2010_Structure!E:E,MATCH(sectorLookup!A879,SOC2010_Structure!D:D,0)))</f>
        <v>Aircraft maintenance and related trades</v>
      </c>
      <c r="C879" t="s">
        <v>683</v>
      </c>
      <c r="D879" t="str">
        <f>INDEX('group info'!B:B,MATCH(sectorLookup!C879,'group info'!A:A,0))</f>
        <v>STEM</v>
      </c>
      <c r="E879" t="s">
        <v>322</v>
      </c>
      <c r="F879">
        <v>2010</v>
      </c>
      <c r="G879" t="str">
        <f t="shared" si="13"/>
        <v>STEM SOC2010</v>
      </c>
    </row>
    <row r="880" spans="1:7" x14ac:dyDescent="0.35">
      <c r="A880">
        <v>5236</v>
      </c>
      <c r="B880" t="str">
        <f>IF(F880=2020,INDEX(SOC2020_Structure!E:E,MATCH(sectorLookup!A880,SOC2020_Structure!D:D,0)),INDEX(SOC2010_Structure!E:E,MATCH(sectorLookup!A880,SOC2010_Structure!D:D,0)))</f>
        <v>Boat and ship builders and repairers</v>
      </c>
      <c r="C880" t="s">
        <v>683</v>
      </c>
      <c r="D880" t="str">
        <f>INDEX('group info'!B:B,MATCH(sectorLookup!C880,'group info'!A:A,0))</f>
        <v>STEM</v>
      </c>
      <c r="E880" t="s">
        <v>322</v>
      </c>
      <c r="F880">
        <v>2010</v>
      </c>
      <c r="G880" t="str">
        <f t="shared" si="13"/>
        <v>STEM SOC2010</v>
      </c>
    </row>
    <row r="881" spans="1:7" x14ac:dyDescent="0.35">
      <c r="A881">
        <v>5237</v>
      </c>
      <c r="B881" t="str">
        <f>IF(F881=2020,INDEX(SOC2020_Structure!E:E,MATCH(sectorLookup!A881,SOC2020_Structure!D:D,0)),INDEX(SOC2010_Structure!E:E,MATCH(sectorLookup!A881,SOC2010_Structure!D:D,0)))</f>
        <v>Rail and rolling stock builders and repairers</v>
      </c>
      <c r="C881" t="s">
        <v>683</v>
      </c>
      <c r="D881" t="str">
        <f>INDEX('group info'!B:B,MATCH(sectorLookup!C881,'group info'!A:A,0))</f>
        <v>STEM</v>
      </c>
      <c r="E881" t="s">
        <v>322</v>
      </c>
      <c r="F881">
        <v>2010</v>
      </c>
      <c r="G881" t="str">
        <f t="shared" si="13"/>
        <v>STEM SOC2010</v>
      </c>
    </row>
    <row r="882" spans="1:7" x14ac:dyDescent="0.35">
      <c r="A882">
        <v>5241</v>
      </c>
      <c r="B882" t="str">
        <f>IF(F882=2020,INDEX(SOC2020_Structure!E:E,MATCH(sectorLookup!A882,SOC2020_Structure!D:D,0)),INDEX(SOC2010_Structure!E:E,MATCH(sectorLookup!A882,SOC2010_Structure!D:D,0)))</f>
        <v>Electricians and electrical fitters</v>
      </c>
      <c r="C882" t="s">
        <v>683</v>
      </c>
      <c r="D882" t="str">
        <f>INDEX('group info'!B:B,MATCH(sectorLookup!C882,'group info'!A:A,0))</f>
        <v>STEM</v>
      </c>
      <c r="E882" t="s">
        <v>322</v>
      </c>
      <c r="F882">
        <v>2010</v>
      </c>
      <c r="G882" t="str">
        <f t="shared" si="13"/>
        <v>STEM SOC2010</v>
      </c>
    </row>
    <row r="883" spans="1:7" x14ac:dyDescent="0.35">
      <c r="A883">
        <v>5242</v>
      </c>
      <c r="B883" t="str">
        <f>IF(F883=2020,INDEX(SOC2020_Structure!E:E,MATCH(sectorLookup!A883,SOC2020_Structure!D:D,0)),INDEX(SOC2010_Structure!E:E,MATCH(sectorLookup!A883,SOC2010_Structure!D:D,0)))</f>
        <v>Telecommunications engineers</v>
      </c>
      <c r="C883" t="s">
        <v>683</v>
      </c>
      <c r="D883" t="str">
        <f>INDEX('group info'!B:B,MATCH(sectorLookup!C883,'group info'!A:A,0))</f>
        <v>STEM</v>
      </c>
      <c r="E883" t="s">
        <v>322</v>
      </c>
      <c r="F883">
        <v>2010</v>
      </c>
      <c r="G883" t="str">
        <f t="shared" si="13"/>
        <v>STEM SOC2010</v>
      </c>
    </row>
    <row r="884" spans="1:7" x14ac:dyDescent="0.35">
      <c r="A884">
        <v>5244</v>
      </c>
      <c r="B884" t="str">
        <f>IF(F884=2020,INDEX(SOC2020_Structure!E:E,MATCH(sectorLookup!A884,SOC2020_Structure!D:D,0)),INDEX(SOC2010_Structure!E:E,MATCH(sectorLookup!A884,SOC2010_Structure!D:D,0)))</f>
        <v>TV, video and audio engineers</v>
      </c>
      <c r="C884" t="s">
        <v>683</v>
      </c>
      <c r="D884" t="str">
        <f>INDEX('group info'!B:B,MATCH(sectorLookup!C884,'group info'!A:A,0))</f>
        <v>STEM</v>
      </c>
      <c r="E884" t="s">
        <v>322</v>
      </c>
      <c r="F884">
        <v>2010</v>
      </c>
      <c r="G884" t="str">
        <f t="shared" si="13"/>
        <v>STEM SOC2010</v>
      </c>
    </row>
    <row r="885" spans="1:7" x14ac:dyDescent="0.35">
      <c r="A885">
        <v>5245</v>
      </c>
      <c r="B885" t="str">
        <f>IF(F885=2020,INDEX(SOC2020_Structure!E:E,MATCH(sectorLookup!A885,SOC2020_Structure!D:D,0)),INDEX(SOC2010_Structure!E:E,MATCH(sectorLookup!A885,SOC2010_Structure!D:D,0)))</f>
        <v>IT engineers</v>
      </c>
      <c r="C885" t="s">
        <v>683</v>
      </c>
      <c r="D885" t="str">
        <f>INDEX('group info'!B:B,MATCH(sectorLookup!C885,'group info'!A:A,0))</f>
        <v>STEM</v>
      </c>
      <c r="E885" t="s">
        <v>322</v>
      </c>
      <c r="F885">
        <v>2010</v>
      </c>
      <c r="G885" t="str">
        <f t="shared" si="13"/>
        <v>STEM SOC2010</v>
      </c>
    </row>
    <row r="886" spans="1:7" x14ac:dyDescent="0.35">
      <c r="A886">
        <v>5249</v>
      </c>
      <c r="B886" t="str">
        <f>IF(F886=2020,INDEX(SOC2020_Structure!E:E,MATCH(sectorLookup!A886,SOC2020_Structure!D:D,0)),INDEX(SOC2010_Structure!E:E,MATCH(sectorLookup!A886,SOC2010_Structure!D:D,0)))</f>
        <v>Electrical and electronic trades n.e.c.</v>
      </c>
      <c r="C886" t="s">
        <v>683</v>
      </c>
      <c r="D886" t="str">
        <f>INDEX('group info'!B:B,MATCH(sectorLookup!C886,'group info'!A:A,0))</f>
        <v>STEM</v>
      </c>
      <c r="E886" t="s">
        <v>322</v>
      </c>
      <c r="F886">
        <v>2010</v>
      </c>
      <c r="G886" t="str">
        <f t="shared" si="13"/>
        <v>STEM SOC2010</v>
      </c>
    </row>
    <row r="887" spans="1:7" x14ac:dyDescent="0.35">
      <c r="A887">
        <v>5250</v>
      </c>
      <c r="B887" t="str">
        <f>IF(F887=2020,INDEX(SOC2020_Structure!E:E,MATCH(sectorLookup!A887,SOC2020_Structure!D:D,0)),INDEX(SOC2010_Structure!E:E,MATCH(sectorLookup!A887,SOC2010_Structure!D:D,0)))</f>
        <v>Skilled metal, electrical and electronic trades supervisors</v>
      </c>
      <c r="C887" t="s">
        <v>683</v>
      </c>
      <c r="D887" t="str">
        <f>INDEX('group info'!B:B,MATCH(sectorLookup!C887,'group info'!A:A,0))</f>
        <v>STEM</v>
      </c>
      <c r="E887" t="s">
        <v>322</v>
      </c>
      <c r="F887">
        <v>2010</v>
      </c>
      <c r="G887" t="str">
        <f t="shared" si="13"/>
        <v>STEM SOC2010</v>
      </c>
    </row>
    <row r="888" spans="1:7" x14ac:dyDescent="0.35">
      <c r="A888">
        <v>5311</v>
      </c>
      <c r="B888" t="str">
        <f>IF(F888=2020,INDEX(SOC2020_Structure!E:E,MATCH(sectorLookup!A888,SOC2020_Structure!D:D,0)),INDEX(SOC2010_Structure!E:E,MATCH(sectorLookup!A888,SOC2010_Structure!D:D,0)))</f>
        <v>Steel erectors</v>
      </c>
      <c r="C888" t="s">
        <v>683</v>
      </c>
      <c r="D888" t="str">
        <f>INDEX('group info'!B:B,MATCH(sectorLookup!C888,'group info'!A:A,0))</f>
        <v>STEM</v>
      </c>
      <c r="E888" t="s">
        <v>322</v>
      </c>
      <c r="F888">
        <v>2010</v>
      </c>
      <c r="G888" t="str">
        <f t="shared" si="13"/>
        <v>STEM SOC2010</v>
      </c>
    </row>
    <row r="889" spans="1:7" x14ac:dyDescent="0.35">
      <c r="A889">
        <v>5312</v>
      </c>
      <c r="B889" t="str">
        <f>IF(F889=2020,INDEX(SOC2020_Structure!E:E,MATCH(sectorLookup!A889,SOC2020_Structure!D:D,0)),INDEX(SOC2010_Structure!E:E,MATCH(sectorLookup!A889,SOC2010_Structure!D:D,0)))</f>
        <v>Bricklayers and masons</v>
      </c>
      <c r="C889" t="s">
        <v>683</v>
      </c>
      <c r="D889" t="str">
        <f>INDEX('group info'!B:B,MATCH(sectorLookup!C889,'group info'!A:A,0))</f>
        <v>STEM</v>
      </c>
      <c r="E889" t="s">
        <v>322</v>
      </c>
      <c r="F889">
        <v>2010</v>
      </c>
      <c r="G889" t="str">
        <f t="shared" si="13"/>
        <v>STEM SOC2010</v>
      </c>
    </row>
    <row r="890" spans="1:7" x14ac:dyDescent="0.35">
      <c r="A890">
        <v>5313</v>
      </c>
      <c r="B890" t="str">
        <f>IF(F890=2020,INDEX(SOC2020_Structure!E:E,MATCH(sectorLookup!A890,SOC2020_Structure!D:D,0)),INDEX(SOC2010_Structure!E:E,MATCH(sectorLookup!A890,SOC2010_Structure!D:D,0)))</f>
        <v>Roofers, roof tilers and slaters</v>
      </c>
      <c r="C890" t="s">
        <v>683</v>
      </c>
      <c r="D890" t="str">
        <f>INDEX('group info'!B:B,MATCH(sectorLookup!C890,'group info'!A:A,0))</f>
        <v>STEM</v>
      </c>
      <c r="E890" t="s">
        <v>322</v>
      </c>
      <c r="F890">
        <v>2010</v>
      </c>
      <c r="G890" t="str">
        <f t="shared" si="13"/>
        <v>STEM SOC2010</v>
      </c>
    </row>
    <row r="891" spans="1:7" x14ac:dyDescent="0.35">
      <c r="A891">
        <v>5314</v>
      </c>
      <c r="B891" t="str">
        <f>IF(F891=2020,INDEX(SOC2020_Structure!E:E,MATCH(sectorLookup!A891,SOC2020_Structure!D:D,0)),INDEX(SOC2010_Structure!E:E,MATCH(sectorLookup!A891,SOC2010_Structure!D:D,0)))</f>
        <v>Plumbers and heating and ventilating engineers</v>
      </c>
      <c r="C891" t="s">
        <v>683</v>
      </c>
      <c r="D891" t="str">
        <f>INDEX('group info'!B:B,MATCH(sectorLookup!C891,'group info'!A:A,0))</f>
        <v>STEM</v>
      </c>
      <c r="E891" t="s">
        <v>322</v>
      </c>
      <c r="F891">
        <v>2010</v>
      </c>
      <c r="G891" t="str">
        <f t="shared" si="13"/>
        <v>STEM SOC2010</v>
      </c>
    </row>
    <row r="892" spans="1:7" x14ac:dyDescent="0.35">
      <c r="A892">
        <v>5315</v>
      </c>
      <c r="B892" t="str">
        <f>IF(F892=2020,INDEX(SOC2020_Structure!E:E,MATCH(sectorLookup!A892,SOC2020_Structure!D:D,0)),INDEX(SOC2010_Structure!E:E,MATCH(sectorLookup!A892,SOC2010_Structure!D:D,0)))</f>
        <v>Carpenters and joiners</v>
      </c>
      <c r="C892" t="s">
        <v>683</v>
      </c>
      <c r="D892" t="str">
        <f>INDEX('group info'!B:B,MATCH(sectorLookup!C892,'group info'!A:A,0))</f>
        <v>STEM</v>
      </c>
      <c r="E892" t="s">
        <v>322</v>
      </c>
      <c r="F892">
        <v>2010</v>
      </c>
      <c r="G892" t="str">
        <f t="shared" si="13"/>
        <v>STEM SOC2010</v>
      </c>
    </row>
    <row r="893" spans="1:7" x14ac:dyDescent="0.35">
      <c r="A893">
        <v>5316</v>
      </c>
      <c r="B893" t="str">
        <f>IF(F893=2020,INDEX(SOC2020_Structure!E:E,MATCH(sectorLookup!A893,SOC2020_Structure!D:D,0)),INDEX(SOC2010_Structure!E:E,MATCH(sectorLookup!A893,SOC2010_Structure!D:D,0)))</f>
        <v>Glaziers, window fabricators and fitters</v>
      </c>
      <c r="C893" t="s">
        <v>683</v>
      </c>
      <c r="D893" t="str">
        <f>INDEX('group info'!B:B,MATCH(sectorLookup!C893,'group info'!A:A,0))</f>
        <v>STEM</v>
      </c>
      <c r="E893" t="s">
        <v>322</v>
      </c>
      <c r="F893">
        <v>2010</v>
      </c>
      <c r="G893" t="str">
        <f t="shared" si="13"/>
        <v>STEM SOC2010</v>
      </c>
    </row>
    <row r="894" spans="1:7" x14ac:dyDescent="0.35">
      <c r="A894">
        <v>5319</v>
      </c>
      <c r="B894" t="str">
        <f>IF(F894=2020,INDEX(SOC2020_Structure!E:E,MATCH(sectorLookup!A894,SOC2020_Structure!D:D,0)),INDEX(SOC2010_Structure!E:E,MATCH(sectorLookup!A894,SOC2010_Structure!D:D,0)))</f>
        <v>Construction and building trades n.e.c.</v>
      </c>
      <c r="C894" t="s">
        <v>683</v>
      </c>
      <c r="D894" t="str">
        <f>INDEX('group info'!B:B,MATCH(sectorLookup!C894,'group info'!A:A,0))</f>
        <v>STEM</v>
      </c>
      <c r="E894" t="s">
        <v>322</v>
      </c>
      <c r="F894">
        <v>2010</v>
      </c>
      <c r="G894" t="str">
        <f t="shared" si="13"/>
        <v>STEM SOC2010</v>
      </c>
    </row>
    <row r="895" spans="1:7" x14ac:dyDescent="0.35">
      <c r="A895">
        <v>5330</v>
      </c>
      <c r="B895" t="str">
        <f>IF(F895=2020,INDEX(SOC2020_Structure!E:E,MATCH(sectorLookup!A895,SOC2020_Structure!D:D,0)),INDEX(SOC2010_Structure!E:E,MATCH(sectorLookup!A895,SOC2010_Structure!D:D,0)))</f>
        <v>Construction and building trades supervisors</v>
      </c>
      <c r="C895" t="s">
        <v>683</v>
      </c>
      <c r="D895" t="str">
        <f>INDEX('group info'!B:B,MATCH(sectorLookup!C895,'group info'!A:A,0))</f>
        <v>STEM</v>
      </c>
      <c r="E895" t="s">
        <v>322</v>
      </c>
      <c r="F895">
        <v>2010</v>
      </c>
      <c r="G895" t="str">
        <f t="shared" si="13"/>
        <v>STEM SOC2010</v>
      </c>
    </row>
    <row r="896" spans="1:7" x14ac:dyDescent="0.35">
      <c r="A896">
        <v>5421</v>
      </c>
      <c r="B896" t="str">
        <f>IF(F896=2020,INDEX(SOC2020_Structure!E:E,MATCH(sectorLookup!A896,SOC2020_Structure!D:D,0)),INDEX(SOC2010_Structure!E:E,MATCH(sectorLookup!A896,SOC2010_Structure!D:D,0)))</f>
        <v>Pre-press technicians</v>
      </c>
      <c r="C896" t="s">
        <v>683</v>
      </c>
      <c r="D896" t="str">
        <f>INDEX('group info'!B:B,MATCH(sectorLookup!C896,'group info'!A:A,0))</f>
        <v>STEM</v>
      </c>
      <c r="E896" t="s">
        <v>322</v>
      </c>
      <c r="F896">
        <v>2010</v>
      </c>
      <c r="G896" t="str">
        <f t="shared" si="13"/>
        <v>STEM SOC2010</v>
      </c>
    </row>
    <row r="897" spans="1:7" x14ac:dyDescent="0.35">
      <c r="A897">
        <v>5422</v>
      </c>
      <c r="B897" t="str">
        <f>IF(F897=2020,INDEX(SOC2020_Structure!E:E,MATCH(sectorLookup!A897,SOC2020_Structure!D:D,0)),INDEX(SOC2010_Structure!E:E,MATCH(sectorLookup!A897,SOC2010_Structure!D:D,0)))</f>
        <v>Printers</v>
      </c>
      <c r="C897" t="s">
        <v>683</v>
      </c>
      <c r="D897" t="str">
        <f>INDEX('group info'!B:B,MATCH(sectorLookup!C897,'group info'!A:A,0))</f>
        <v>STEM</v>
      </c>
      <c r="E897" t="s">
        <v>322</v>
      </c>
      <c r="F897">
        <v>2010</v>
      </c>
      <c r="G897" t="str">
        <f t="shared" si="13"/>
        <v>STEM SOC2010</v>
      </c>
    </row>
    <row r="898" spans="1:7" x14ac:dyDescent="0.35">
      <c r="A898">
        <v>8112</v>
      </c>
      <c r="B898" t="str">
        <f>IF(F898=2020,INDEX(SOC2020_Structure!E:E,MATCH(sectorLookup!A898,SOC2020_Structure!D:D,0)),INDEX(SOC2010_Structure!E:E,MATCH(sectorLookup!A898,SOC2010_Structure!D:D,0)))</f>
        <v>Glass and ceramics process operatives</v>
      </c>
      <c r="C898" t="s">
        <v>683</v>
      </c>
      <c r="D898" t="str">
        <f>INDEX('group info'!B:B,MATCH(sectorLookup!C898,'group info'!A:A,0))</f>
        <v>STEM</v>
      </c>
      <c r="E898" t="s">
        <v>322</v>
      </c>
      <c r="F898">
        <v>2010</v>
      </c>
      <c r="G898" t="str">
        <f t="shared" si="13"/>
        <v>STEM SOC2010</v>
      </c>
    </row>
    <row r="899" spans="1:7" x14ac:dyDescent="0.35">
      <c r="A899">
        <v>8114</v>
      </c>
      <c r="B899" t="str">
        <f>IF(F899=2020,INDEX(SOC2020_Structure!E:E,MATCH(sectorLookup!A899,SOC2020_Structure!D:D,0)),INDEX(SOC2010_Structure!E:E,MATCH(sectorLookup!A899,SOC2010_Structure!D:D,0)))</f>
        <v>Chemical and related process operatives</v>
      </c>
      <c r="C899" t="s">
        <v>683</v>
      </c>
      <c r="D899" t="str">
        <f>INDEX('group info'!B:B,MATCH(sectorLookup!C899,'group info'!A:A,0))</f>
        <v>STEM</v>
      </c>
      <c r="E899" t="s">
        <v>322</v>
      </c>
      <c r="F899">
        <v>2010</v>
      </c>
      <c r="G899" t="str">
        <f t="shared" ref="G899:G962" si="14">D899&amp;" SOC"&amp;F899</f>
        <v>STEM SOC2010</v>
      </c>
    </row>
    <row r="900" spans="1:7" x14ac:dyDescent="0.35">
      <c r="A900">
        <v>8115</v>
      </c>
      <c r="B900" t="str">
        <f>IF(F900=2020,INDEX(SOC2020_Structure!E:E,MATCH(sectorLookup!A900,SOC2020_Structure!D:D,0)),INDEX(SOC2010_Structure!E:E,MATCH(sectorLookup!A900,SOC2010_Structure!D:D,0)))</f>
        <v>Rubber process operatives</v>
      </c>
      <c r="C900" t="s">
        <v>683</v>
      </c>
      <c r="D900" t="str">
        <f>INDEX('group info'!B:B,MATCH(sectorLookup!C900,'group info'!A:A,0))</f>
        <v>STEM</v>
      </c>
      <c r="E900" t="s">
        <v>322</v>
      </c>
      <c r="F900">
        <v>2010</v>
      </c>
      <c r="G900" t="str">
        <f t="shared" si="14"/>
        <v>STEM SOC2010</v>
      </c>
    </row>
    <row r="901" spans="1:7" x14ac:dyDescent="0.35">
      <c r="A901">
        <v>8116</v>
      </c>
      <c r="B901" t="str">
        <f>IF(F901=2020,INDEX(SOC2020_Structure!E:E,MATCH(sectorLookup!A901,SOC2020_Structure!D:D,0)),INDEX(SOC2010_Structure!E:E,MATCH(sectorLookup!A901,SOC2010_Structure!D:D,0)))</f>
        <v>Plastics process operatives</v>
      </c>
      <c r="C901" t="s">
        <v>683</v>
      </c>
      <c r="D901" t="str">
        <f>INDEX('group info'!B:B,MATCH(sectorLookup!C901,'group info'!A:A,0))</f>
        <v>STEM</v>
      </c>
      <c r="E901" t="s">
        <v>322</v>
      </c>
      <c r="F901">
        <v>2010</v>
      </c>
      <c r="G901" t="str">
        <f t="shared" si="14"/>
        <v>STEM SOC2010</v>
      </c>
    </row>
    <row r="902" spans="1:7" x14ac:dyDescent="0.35">
      <c r="A902">
        <v>8117</v>
      </c>
      <c r="B902" t="str">
        <f>IF(F902=2020,INDEX(SOC2020_Structure!E:E,MATCH(sectorLookup!A902,SOC2020_Structure!D:D,0)),INDEX(SOC2010_Structure!E:E,MATCH(sectorLookup!A902,SOC2010_Structure!D:D,0)))</f>
        <v>Metal making and treating process operatives</v>
      </c>
      <c r="C902" t="s">
        <v>683</v>
      </c>
      <c r="D902" t="str">
        <f>INDEX('group info'!B:B,MATCH(sectorLookup!C902,'group info'!A:A,0))</f>
        <v>STEM</v>
      </c>
      <c r="E902" t="s">
        <v>322</v>
      </c>
      <c r="F902">
        <v>2010</v>
      </c>
      <c r="G902" t="str">
        <f t="shared" si="14"/>
        <v>STEM SOC2010</v>
      </c>
    </row>
    <row r="903" spans="1:7" x14ac:dyDescent="0.35">
      <c r="A903">
        <v>8118</v>
      </c>
      <c r="B903" t="str">
        <f>IF(F903=2020,INDEX(SOC2020_Structure!E:E,MATCH(sectorLookup!A903,SOC2020_Structure!D:D,0)),INDEX(SOC2010_Structure!E:E,MATCH(sectorLookup!A903,SOC2010_Structure!D:D,0)))</f>
        <v>Electroplaters</v>
      </c>
      <c r="C903" t="s">
        <v>683</v>
      </c>
      <c r="D903" t="str">
        <f>INDEX('group info'!B:B,MATCH(sectorLookup!C903,'group info'!A:A,0))</f>
        <v>STEM</v>
      </c>
      <c r="E903" t="s">
        <v>322</v>
      </c>
      <c r="F903">
        <v>2010</v>
      </c>
      <c r="G903" t="str">
        <f t="shared" si="14"/>
        <v>STEM SOC2010</v>
      </c>
    </row>
    <row r="904" spans="1:7" x14ac:dyDescent="0.35">
      <c r="A904">
        <v>8119</v>
      </c>
      <c r="B904" t="str">
        <f>IF(F904=2020,INDEX(SOC2020_Structure!E:E,MATCH(sectorLookup!A904,SOC2020_Structure!D:D,0)),INDEX(SOC2010_Structure!E:E,MATCH(sectorLookup!A904,SOC2010_Structure!D:D,0)))</f>
        <v>Process operatives n.e.c.</v>
      </c>
      <c r="C904" t="s">
        <v>683</v>
      </c>
      <c r="D904" t="str">
        <f>INDEX('group info'!B:B,MATCH(sectorLookup!C904,'group info'!A:A,0))</f>
        <v>STEM</v>
      </c>
      <c r="E904" t="s">
        <v>322</v>
      </c>
      <c r="F904">
        <v>2010</v>
      </c>
      <c r="G904" t="str">
        <f t="shared" si="14"/>
        <v>STEM SOC2010</v>
      </c>
    </row>
    <row r="905" spans="1:7" x14ac:dyDescent="0.35">
      <c r="A905">
        <v>8121</v>
      </c>
      <c r="B905" t="str">
        <f>IF(F905=2020,INDEX(SOC2020_Structure!E:E,MATCH(sectorLookup!A905,SOC2020_Structure!D:D,0)),INDEX(SOC2010_Structure!E:E,MATCH(sectorLookup!A905,SOC2010_Structure!D:D,0)))</f>
        <v>Paper and wood machine operatives</v>
      </c>
      <c r="C905" t="s">
        <v>683</v>
      </c>
      <c r="D905" t="str">
        <f>INDEX('group info'!B:B,MATCH(sectorLookup!C905,'group info'!A:A,0))</f>
        <v>STEM</v>
      </c>
      <c r="E905" t="s">
        <v>322</v>
      </c>
      <c r="F905">
        <v>2010</v>
      </c>
      <c r="G905" t="str">
        <f t="shared" si="14"/>
        <v>STEM SOC2010</v>
      </c>
    </row>
    <row r="906" spans="1:7" x14ac:dyDescent="0.35">
      <c r="A906">
        <v>8122</v>
      </c>
      <c r="B906" t="str">
        <f>IF(F906=2020,INDEX(SOC2020_Structure!E:E,MATCH(sectorLookup!A906,SOC2020_Structure!D:D,0)),INDEX(SOC2010_Structure!E:E,MATCH(sectorLookup!A906,SOC2010_Structure!D:D,0)))</f>
        <v>Coal mine operatives</v>
      </c>
      <c r="C906" t="s">
        <v>683</v>
      </c>
      <c r="D906" t="str">
        <f>INDEX('group info'!B:B,MATCH(sectorLookup!C906,'group info'!A:A,0))</f>
        <v>STEM</v>
      </c>
      <c r="E906" t="s">
        <v>322</v>
      </c>
      <c r="F906">
        <v>2010</v>
      </c>
      <c r="G906" t="str">
        <f t="shared" si="14"/>
        <v>STEM SOC2010</v>
      </c>
    </row>
    <row r="907" spans="1:7" x14ac:dyDescent="0.35">
      <c r="A907">
        <v>8123</v>
      </c>
      <c r="B907" t="str">
        <f>IF(F907=2020,INDEX(SOC2020_Structure!E:E,MATCH(sectorLookup!A907,SOC2020_Structure!D:D,0)),INDEX(SOC2010_Structure!E:E,MATCH(sectorLookup!A907,SOC2010_Structure!D:D,0)))</f>
        <v>Quarry workers and related operatives</v>
      </c>
      <c r="C907" t="s">
        <v>683</v>
      </c>
      <c r="D907" t="str">
        <f>INDEX('group info'!B:B,MATCH(sectorLookup!C907,'group info'!A:A,0))</f>
        <v>STEM</v>
      </c>
      <c r="E907" t="s">
        <v>322</v>
      </c>
      <c r="F907">
        <v>2010</v>
      </c>
      <c r="G907" t="str">
        <f t="shared" si="14"/>
        <v>STEM SOC2010</v>
      </c>
    </row>
    <row r="908" spans="1:7" x14ac:dyDescent="0.35">
      <c r="A908">
        <v>8124</v>
      </c>
      <c r="B908" t="str">
        <f>IF(F908=2020,INDEX(SOC2020_Structure!E:E,MATCH(sectorLookup!A908,SOC2020_Structure!D:D,0)),INDEX(SOC2010_Structure!E:E,MATCH(sectorLookup!A908,SOC2010_Structure!D:D,0)))</f>
        <v>Energy plant operatives</v>
      </c>
      <c r="C908" t="s">
        <v>683</v>
      </c>
      <c r="D908" t="str">
        <f>INDEX('group info'!B:B,MATCH(sectorLookup!C908,'group info'!A:A,0))</f>
        <v>STEM</v>
      </c>
      <c r="E908" t="s">
        <v>322</v>
      </c>
      <c r="F908">
        <v>2010</v>
      </c>
      <c r="G908" t="str">
        <f t="shared" si="14"/>
        <v>STEM SOC2010</v>
      </c>
    </row>
    <row r="909" spans="1:7" x14ac:dyDescent="0.35">
      <c r="A909">
        <v>8125</v>
      </c>
      <c r="B909" t="str">
        <f>IF(F909=2020,INDEX(SOC2020_Structure!E:E,MATCH(sectorLookup!A909,SOC2020_Structure!D:D,0)),INDEX(SOC2010_Structure!E:E,MATCH(sectorLookup!A909,SOC2010_Structure!D:D,0)))</f>
        <v>Metal working machine operatives</v>
      </c>
      <c r="C909" t="s">
        <v>683</v>
      </c>
      <c r="D909" t="str">
        <f>INDEX('group info'!B:B,MATCH(sectorLookup!C909,'group info'!A:A,0))</f>
        <v>STEM</v>
      </c>
      <c r="E909" t="s">
        <v>322</v>
      </c>
      <c r="F909">
        <v>2010</v>
      </c>
      <c r="G909" t="str">
        <f t="shared" si="14"/>
        <v>STEM SOC2010</v>
      </c>
    </row>
    <row r="910" spans="1:7" x14ac:dyDescent="0.35">
      <c r="A910">
        <v>8126</v>
      </c>
      <c r="B910" t="str">
        <f>IF(F910=2020,INDEX(SOC2020_Structure!E:E,MATCH(sectorLookup!A910,SOC2020_Structure!D:D,0)),INDEX(SOC2010_Structure!E:E,MATCH(sectorLookup!A910,SOC2010_Structure!D:D,0)))</f>
        <v>Water and sewerage plant operatives</v>
      </c>
      <c r="C910" t="s">
        <v>683</v>
      </c>
      <c r="D910" t="str">
        <f>INDEX('group info'!B:B,MATCH(sectorLookup!C910,'group info'!A:A,0))</f>
        <v>STEM</v>
      </c>
      <c r="E910" t="s">
        <v>322</v>
      </c>
      <c r="F910">
        <v>2010</v>
      </c>
      <c r="G910" t="str">
        <f t="shared" si="14"/>
        <v>STEM SOC2010</v>
      </c>
    </row>
    <row r="911" spans="1:7" x14ac:dyDescent="0.35">
      <c r="A911">
        <v>8129</v>
      </c>
      <c r="B911" t="str">
        <f>IF(F911=2020,INDEX(SOC2020_Structure!E:E,MATCH(sectorLookup!A911,SOC2020_Structure!D:D,0)),INDEX(SOC2010_Structure!E:E,MATCH(sectorLookup!A911,SOC2010_Structure!D:D,0)))</f>
        <v>Plant and machine operatives n.e.c.</v>
      </c>
      <c r="C911" t="s">
        <v>683</v>
      </c>
      <c r="D911" t="str">
        <f>INDEX('group info'!B:B,MATCH(sectorLookup!C911,'group info'!A:A,0))</f>
        <v>STEM</v>
      </c>
      <c r="E911" t="s">
        <v>322</v>
      </c>
      <c r="F911">
        <v>2010</v>
      </c>
      <c r="G911" t="str">
        <f t="shared" si="14"/>
        <v>STEM SOC2010</v>
      </c>
    </row>
    <row r="912" spans="1:7" x14ac:dyDescent="0.35">
      <c r="A912">
        <v>8131</v>
      </c>
      <c r="B912" t="str">
        <f>IF(F912=2020,INDEX(SOC2020_Structure!E:E,MATCH(sectorLookup!A912,SOC2020_Structure!D:D,0)),INDEX(SOC2010_Structure!E:E,MATCH(sectorLookup!A912,SOC2010_Structure!D:D,0)))</f>
        <v>Assemblers (electrical and electronic products)</v>
      </c>
      <c r="C912" t="s">
        <v>683</v>
      </c>
      <c r="D912" t="str">
        <f>INDEX('group info'!B:B,MATCH(sectorLookup!C912,'group info'!A:A,0))</f>
        <v>STEM</v>
      </c>
      <c r="E912" t="s">
        <v>322</v>
      </c>
      <c r="F912">
        <v>2010</v>
      </c>
      <c r="G912" t="str">
        <f t="shared" si="14"/>
        <v>STEM SOC2010</v>
      </c>
    </row>
    <row r="913" spans="1:7" x14ac:dyDescent="0.35">
      <c r="A913">
        <v>8132</v>
      </c>
      <c r="B913" t="str">
        <f>IF(F913=2020,INDEX(SOC2020_Structure!E:E,MATCH(sectorLookup!A913,SOC2020_Structure!D:D,0)),INDEX(SOC2010_Structure!E:E,MATCH(sectorLookup!A913,SOC2010_Structure!D:D,0)))</f>
        <v>Assemblers (vehicles and metal goods)</v>
      </c>
      <c r="C913" t="s">
        <v>683</v>
      </c>
      <c r="D913" t="str">
        <f>INDEX('group info'!B:B,MATCH(sectorLookup!C913,'group info'!A:A,0))</f>
        <v>STEM</v>
      </c>
      <c r="E913" t="s">
        <v>322</v>
      </c>
      <c r="F913">
        <v>2010</v>
      </c>
      <c r="G913" t="str">
        <f t="shared" si="14"/>
        <v>STEM SOC2010</v>
      </c>
    </row>
    <row r="914" spans="1:7" x14ac:dyDescent="0.35">
      <c r="A914">
        <v>8133</v>
      </c>
      <c r="B914" t="str">
        <f>IF(F914=2020,INDEX(SOC2020_Structure!E:E,MATCH(sectorLookup!A914,SOC2020_Structure!D:D,0)),INDEX(SOC2010_Structure!E:E,MATCH(sectorLookup!A914,SOC2010_Structure!D:D,0)))</f>
        <v>Routine inspectors and testers</v>
      </c>
      <c r="C914" t="s">
        <v>683</v>
      </c>
      <c r="D914" t="str">
        <f>INDEX('group info'!B:B,MATCH(sectorLookup!C914,'group info'!A:A,0))</f>
        <v>STEM</v>
      </c>
      <c r="E914" t="s">
        <v>322</v>
      </c>
      <c r="F914">
        <v>2010</v>
      </c>
      <c r="G914" t="str">
        <f t="shared" si="14"/>
        <v>STEM SOC2010</v>
      </c>
    </row>
    <row r="915" spans="1:7" x14ac:dyDescent="0.35">
      <c r="A915">
        <v>8135</v>
      </c>
      <c r="B915" t="str">
        <f>IF(F915=2020,INDEX(SOC2020_Structure!E:E,MATCH(sectorLookup!A915,SOC2020_Structure!D:D,0)),INDEX(SOC2010_Structure!E:E,MATCH(sectorLookup!A915,SOC2010_Structure!D:D,0)))</f>
        <v>Tyre, exhaust and windscreen fitters</v>
      </c>
      <c r="C915" t="s">
        <v>683</v>
      </c>
      <c r="D915" t="str">
        <f>INDEX('group info'!B:B,MATCH(sectorLookup!C915,'group info'!A:A,0))</f>
        <v>STEM</v>
      </c>
      <c r="E915" t="s">
        <v>322</v>
      </c>
      <c r="F915">
        <v>2010</v>
      </c>
      <c r="G915" t="str">
        <f t="shared" si="14"/>
        <v>STEM SOC2010</v>
      </c>
    </row>
    <row r="916" spans="1:7" x14ac:dyDescent="0.35">
      <c r="A916">
        <v>8141</v>
      </c>
      <c r="B916" t="str">
        <f>IF(F916=2020,INDEX(SOC2020_Structure!E:E,MATCH(sectorLookup!A916,SOC2020_Structure!D:D,0)),INDEX(SOC2010_Structure!E:E,MATCH(sectorLookup!A916,SOC2010_Structure!D:D,0)))</f>
        <v>Scaffolders, stagers and riggers</v>
      </c>
      <c r="C916" t="s">
        <v>683</v>
      </c>
      <c r="D916" t="str">
        <f>INDEX('group info'!B:B,MATCH(sectorLookup!C916,'group info'!A:A,0))</f>
        <v>STEM</v>
      </c>
      <c r="E916" t="s">
        <v>322</v>
      </c>
      <c r="F916">
        <v>2010</v>
      </c>
      <c r="G916" t="str">
        <f t="shared" si="14"/>
        <v>STEM SOC2010</v>
      </c>
    </row>
    <row r="917" spans="1:7" x14ac:dyDescent="0.35">
      <c r="A917">
        <v>8142</v>
      </c>
      <c r="B917" t="str">
        <f>IF(F917=2020,INDEX(SOC2020_Structure!E:E,MATCH(sectorLookup!A917,SOC2020_Structure!D:D,0)),INDEX(SOC2010_Structure!E:E,MATCH(sectorLookup!A917,SOC2010_Structure!D:D,0)))</f>
        <v>Road construction operatives</v>
      </c>
      <c r="C917" t="s">
        <v>683</v>
      </c>
      <c r="D917" t="str">
        <f>INDEX('group info'!B:B,MATCH(sectorLookup!C917,'group info'!A:A,0))</f>
        <v>STEM</v>
      </c>
      <c r="E917" t="s">
        <v>322</v>
      </c>
      <c r="F917">
        <v>2010</v>
      </c>
      <c r="G917" t="str">
        <f t="shared" si="14"/>
        <v>STEM SOC2010</v>
      </c>
    </row>
    <row r="918" spans="1:7" x14ac:dyDescent="0.35">
      <c r="A918">
        <v>8143</v>
      </c>
      <c r="B918" t="str">
        <f>IF(F918=2020,INDEX(SOC2020_Structure!E:E,MATCH(sectorLookup!A918,SOC2020_Structure!D:D,0)),INDEX(SOC2010_Structure!E:E,MATCH(sectorLookup!A918,SOC2010_Structure!D:D,0)))</f>
        <v>Rail construction and maintenance operatives</v>
      </c>
      <c r="C918" t="s">
        <v>683</v>
      </c>
      <c r="D918" t="str">
        <f>INDEX('group info'!B:B,MATCH(sectorLookup!C918,'group info'!A:A,0))</f>
        <v>STEM</v>
      </c>
      <c r="E918" t="s">
        <v>322</v>
      </c>
      <c r="F918">
        <v>2010</v>
      </c>
      <c r="G918" t="str">
        <f t="shared" si="14"/>
        <v>STEM SOC2010</v>
      </c>
    </row>
    <row r="919" spans="1:7" x14ac:dyDescent="0.35">
      <c r="A919">
        <v>8149</v>
      </c>
      <c r="B919" t="str">
        <f>IF(F919=2020,INDEX(SOC2020_Structure!E:E,MATCH(sectorLookup!A919,SOC2020_Structure!D:D,0)),INDEX(SOC2010_Structure!E:E,MATCH(sectorLookup!A919,SOC2010_Structure!D:D,0)))</f>
        <v>Construction operatives n.e.c.</v>
      </c>
      <c r="C919" t="s">
        <v>683</v>
      </c>
      <c r="D919" t="str">
        <f>INDEX('group info'!B:B,MATCH(sectorLookup!C919,'group info'!A:A,0))</f>
        <v>STEM</v>
      </c>
      <c r="E919" t="s">
        <v>322</v>
      </c>
      <c r="F919">
        <v>2010</v>
      </c>
      <c r="G919" t="str">
        <f t="shared" si="14"/>
        <v>STEM SOC2010</v>
      </c>
    </row>
    <row r="920" spans="1:7" x14ac:dyDescent="0.35">
      <c r="A920">
        <v>8221</v>
      </c>
      <c r="B920" t="str">
        <f>IF(F920=2020,INDEX(SOC2020_Structure!E:E,MATCH(sectorLookup!A920,SOC2020_Structure!D:D,0)),INDEX(SOC2010_Structure!E:E,MATCH(sectorLookup!A920,SOC2010_Structure!D:D,0)))</f>
        <v>Crane drivers</v>
      </c>
      <c r="C920" t="s">
        <v>683</v>
      </c>
      <c r="D920" t="str">
        <f>INDEX('group info'!B:B,MATCH(sectorLookup!C920,'group info'!A:A,0))</f>
        <v>STEM</v>
      </c>
      <c r="E920" t="s">
        <v>322</v>
      </c>
      <c r="F920">
        <v>2010</v>
      </c>
      <c r="G920" t="str">
        <f t="shared" si="14"/>
        <v>STEM SOC2010</v>
      </c>
    </row>
    <row r="921" spans="1:7" x14ac:dyDescent="0.35">
      <c r="A921">
        <v>8232</v>
      </c>
      <c r="B921" t="str">
        <f>IF(F921=2020,INDEX(SOC2020_Structure!E:E,MATCH(sectorLookup!A921,SOC2020_Structure!D:D,0)),INDEX(SOC2010_Structure!E:E,MATCH(sectorLookup!A921,SOC2010_Structure!D:D,0)))</f>
        <v>Marine and waterways transport operatives</v>
      </c>
      <c r="C921" t="s">
        <v>683</v>
      </c>
      <c r="D921" t="str">
        <f>INDEX('group info'!B:B,MATCH(sectorLookup!C921,'group info'!A:A,0))</f>
        <v>STEM</v>
      </c>
      <c r="E921" t="s">
        <v>322</v>
      </c>
      <c r="F921">
        <v>2010</v>
      </c>
      <c r="G921" t="str">
        <f t="shared" si="14"/>
        <v>STEM SOC2010</v>
      </c>
    </row>
    <row r="922" spans="1:7" x14ac:dyDescent="0.35">
      <c r="A922">
        <v>9260</v>
      </c>
      <c r="B922" t="str">
        <f>IF(F922=2020,INDEX(SOC2020_Structure!E:E,MATCH(sectorLookup!A922,SOC2020_Structure!D:D,0)),INDEX(SOC2010_Structure!E:E,MATCH(sectorLookup!A922,SOC2010_Structure!D:D,0)))</f>
        <v>Elementary storage occupations</v>
      </c>
      <c r="C922" t="s">
        <v>263</v>
      </c>
      <c r="D922" t="str">
        <f>INDEX('group info'!B:B,MATCH(sectorLookup!C922,'group info'!A:A,0))</f>
        <v>Green</v>
      </c>
      <c r="E922" t="s">
        <v>282</v>
      </c>
      <c r="F922">
        <v>2010</v>
      </c>
      <c r="G922" t="str">
        <f t="shared" si="14"/>
        <v>Green SOC2010</v>
      </c>
    </row>
    <row r="923" spans="1:7" x14ac:dyDescent="0.35">
      <c r="A923">
        <v>9235</v>
      </c>
      <c r="B923" t="str">
        <f>IF(F923=2020,INDEX(SOC2020_Structure!E:E,MATCH(sectorLookup!A923,SOC2020_Structure!D:D,0)),INDEX(SOC2010_Structure!E:E,MATCH(sectorLookup!A923,SOC2010_Structure!D:D,0)))</f>
        <v>Refuse and salvage occupations</v>
      </c>
      <c r="C923" t="s">
        <v>263</v>
      </c>
      <c r="D923" t="str">
        <f>INDEX('group info'!B:B,MATCH(sectorLookup!C923,'group info'!A:A,0))</f>
        <v>Green</v>
      </c>
      <c r="E923" t="s">
        <v>282</v>
      </c>
      <c r="F923">
        <v>2010</v>
      </c>
      <c r="G923" t="str">
        <f t="shared" si="14"/>
        <v>Green SOC2010</v>
      </c>
    </row>
    <row r="924" spans="1:7" x14ac:dyDescent="0.35">
      <c r="A924">
        <v>9139</v>
      </c>
      <c r="B924" t="str">
        <f>IF(F924=2020,INDEX(SOC2020_Structure!E:E,MATCH(sectorLookup!A924,SOC2020_Structure!D:D,0)),INDEX(SOC2010_Structure!E:E,MATCH(sectorLookup!A924,SOC2010_Structure!D:D,0)))</f>
        <v>Elementary process plant occupations n.e.c.</v>
      </c>
      <c r="C924" t="s">
        <v>263</v>
      </c>
      <c r="D924" t="str">
        <f>INDEX('group info'!B:B,MATCH(sectorLookup!C924,'group info'!A:A,0))</f>
        <v>Green</v>
      </c>
      <c r="E924" t="s">
        <v>282</v>
      </c>
      <c r="F924">
        <v>2010</v>
      </c>
      <c r="G924" t="str">
        <f t="shared" si="14"/>
        <v>Green SOC2010</v>
      </c>
    </row>
    <row r="925" spans="1:7" x14ac:dyDescent="0.35">
      <c r="A925">
        <v>9134</v>
      </c>
      <c r="B925" t="str">
        <f>IF(F925=2020,INDEX(SOC2020_Structure!E:E,MATCH(sectorLookup!A925,SOC2020_Structure!D:D,0)),INDEX(SOC2010_Structure!E:E,MATCH(sectorLookup!A925,SOC2010_Structure!D:D,0)))</f>
        <v>Packers, bottlers, canners and fillers</v>
      </c>
      <c r="C925" t="s">
        <v>263</v>
      </c>
      <c r="D925" t="str">
        <f>INDEX('group info'!B:B,MATCH(sectorLookup!C925,'group info'!A:A,0))</f>
        <v>Green</v>
      </c>
      <c r="E925" t="s">
        <v>282</v>
      </c>
      <c r="F925">
        <v>2010</v>
      </c>
      <c r="G925" t="str">
        <f t="shared" si="14"/>
        <v>Green SOC2010</v>
      </c>
    </row>
    <row r="926" spans="1:7" x14ac:dyDescent="0.35">
      <c r="A926">
        <v>9132</v>
      </c>
      <c r="B926" t="str">
        <f>IF(F926=2020,INDEX(SOC2020_Structure!E:E,MATCH(sectorLookup!A926,SOC2020_Structure!D:D,0)),INDEX(SOC2010_Structure!E:E,MATCH(sectorLookup!A926,SOC2010_Structure!D:D,0)))</f>
        <v>Industrial cleaning process occupations</v>
      </c>
      <c r="C926" t="s">
        <v>263</v>
      </c>
      <c r="D926" t="str">
        <f>INDEX('group info'!B:B,MATCH(sectorLookup!C926,'group info'!A:A,0))</f>
        <v>Green</v>
      </c>
      <c r="E926" t="s">
        <v>282</v>
      </c>
      <c r="F926">
        <v>2010</v>
      </c>
      <c r="G926" t="str">
        <f t="shared" si="14"/>
        <v>Green SOC2010</v>
      </c>
    </row>
    <row r="927" spans="1:7" x14ac:dyDescent="0.35">
      <c r="A927">
        <v>9120</v>
      </c>
      <c r="B927" t="str">
        <f>IF(F927=2020,INDEX(SOC2020_Structure!E:E,MATCH(sectorLookup!A927,SOC2020_Structure!D:D,0)),INDEX(SOC2010_Structure!E:E,MATCH(sectorLookup!A927,SOC2010_Structure!D:D,0)))</f>
        <v>Elementary construction occupations</v>
      </c>
      <c r="C927" t="s">
        <v>263</v>
      </c>
      <c r="D927" t="str">
        <f>INDEX('group info'!B:B,MATCH(sectorLookup!C927,'group info'!A:A,0))</f>
        <v>Green</v>
      </c>
      <c r="E927" t="s">
        <v>282</v>
      </c>
      <c r="F927">
        <v>2010</v>
      </c>
      <c r="G927" t="str">
        <f t="shared" si="14"/>
        <v>Green SOC2010</v>
      </c>
    </row>
    <row r="928" spans="1:7" x14ac:dyDescent="0.35">
      <c r="A928">
        <v>8229</v>
      </c>
      <c r="B928" t="str">
        <f>IF(F928=2020,INDEX(SOC2020_Structure!E:E,MATCH(sectorLookup!A928,SOC2020_Structure!D:D,0)),INDEX(SOC2010_Structure!E:E,MATCH(sectorLookup!A928,SOC2010_Structure!D:D,0)))</f>
        <v>Mobile machine drivers and operatives n.e.c.</v>
      </c>
      <c r="C928" t="s">
        <v>263</v>
      </c>
      <c r="D928" t="str">
        <f>INDEX('group info'!B:B,MATCH(sectorLookup!C928,'group info'!A:A,0))</f>
        <v>Green</v>
      </c>
      <c r="E928" t="s">
        <v>282</v>
      </c>
      <c r="F928">
        <v>2010</v>
      </c>
      <c r="G928" t="str">
        <f t="shared" si="14"/>
        <v>Green SOC2010</v>
      </c>
    </row>
    <row r="929" spans="1:7" x14ac:dyDescent="0.35">
      <c r="A929">
        <v>8222</v>
      </c>
      <c r="B929" t="str">
        <f>IF(F929=2020,INDEX(SOC2020_Structure!E:E,MATCH(sectorLookup!A929,SOC2020_Structure!D:D,0)),INDEX(SOC2010_Structure!E:E,MATCH(sectorLookup!A929,SOC2010_Structure!D:D,0)))</f>
        <v>Fork-lift truck drivers</v>
      </c>
      <c r="C929" t="s">
        <v>263</v>
      </c>
      <c r="D929" t="str">
        <f>INDEX('group info'!B:B,MATCH(sectorLookup!C929,'group info'!A:A,0))</f>
        <v>Green</v>
      </c>
      <c r="E929" t="s">
        <v>282</v>
      </c>
      <c r="F929">
        <v>2010</v>
      </c>
      <c r="G929" t="str">
        <f t="shared" si="14"/>
        <v>Green SOC2010</v>
      </c>
    </row>
    <row r="930" spans="1:7" x14ac:dyDescent="0.35">
      <c r="A930">
        <v>8221</v>
      </c>
      <c r="B930" t="str">
        <f>IF(F930=2020,INDEX(SOC2020_Structure!E:E,MATCH(sectorLookup!A930,SOC2020_Structure!D:D,0)),INDEX(SOC2010_Structure!E:E,MATCH(sectorLookup!A930,SOC2010_Structure!D:D,0)))</f>
        <v>Crane drivers</v>
      </c>
      <c r="C930" t="s">
        <v>263</v>
      </c>
      <c r="D930" t="str">
        <f>INDEX('group info'!B:B,MATCH(sectorLookup!C930,'group info'!A:A,0))</f>
        <v>Green</v>
      </c>
      <c r="E930" t="s">
        <v>282</v>
      </c>
      <c r="F930">
        <v>2010</v>
      </c>
      <c r="G930" t="str">
        <f t="shared" si="14"/>
        <v>Green SOC2010</v>
      </c>
    </row>
    <row r="931" spans="1:7" x14ac:dyDescent="0.35">
      <c r="A931">
        <v>8149</v>
      </c>
      <c r="B931" t="str">
        <f>IF(F931=2020,INDEX(SOC2020_Structure!E:E,MATCH(sectorLookup!A931,SOC2020_Structure!D:D,0)),INDEX(SOC2010_Structure!E:E,MATCH(sectorLookup!A931,SOC2010_Structure!D:D,0)))</f>
        <v>Construction operatives n.e.c.</v>
      </c>
      <c r="C931" t="s">
        <v>263</v>
      </c>
      <c r="D931" t="str">
        <f>INDEX('group info'!B:B,MATCH(sectorLookup!C931,'group info'!A:A,0))</f>
        <v>Green</v>
      </c>
      <c r="E931" t="s">
        <v>282</v>
      </c>
      <c r="F931">
        <v>2010</v>
      </c>
      <c r="G931" t="str">
        <f t="shared" si="14"/>
        <v>Green SOC2010</v>
      </c>
    </row>
    <row r="932" spans="1:7" x14ac:dyDescent="0.35">
      <c r="A932">
        <v>8141</v>
      </c>
      <c r="B932" t="str">
        <f>IF(F932=2020,INDEX(SOC2020_Structure!E:E,MATCH(sectorLookup!A932,SOC2020_Structure!D:D,0)),INDEX(SOC2010_Structure!E:E,MATCH(sectorLookup!A932,SOC2010_Structure!D:D,0)))</f>
        <v>Scaffolders, stagers and riggers</v>
      </c>
      <c r="C932" t="s">
        <v>263</v>
      </c>
      <c r="D932" t="str">
        <f>INDEX('group info'!B:B,MATCH(sectorLookup!C932,'group info'!A:A,0))</f>
        <v>Green</v>
      </c>
      <c r="E932" t="s">
        <v>282</v>
      </c>
      <c r="F932">
        <v>2010</v>
      </c>
      <c r="G932" t="str">
        <f t="shared" si="14"/>
        <v>Green SOC2010</v>
      </c>
    </row>
    <row r="933" spans="1:7" x14ac:dyDescent="0.35">
      <c r="A933">
        <v>8139</v>
      </c>
      <c r="B933" t="str">
        <f>IF(F933=2020,INDEX(SOC2020_Structure!E:E,MATCH(sectorLookup!A933,SOC2020_Structure!D:D,0)),INDEX(SOC2010_Structure!E:E,MATCH(sectorLookup!A933,SOC2010_Structure!D:D,0)))</f>
        <v>Assemblers and routine operatives n.e.c.</v>
      </c>
      <c r="C933" t="s">
        <v>263</v>
      </c>
      <c r="D933" t="str">
        <f>INDEX('group info'!B:B,MATCH(sectorLookup!C933,'group info'!A:A,0))</f>
        <v>Green</v>
      </c>
      <c r="E933" t="s">
        <v>282</v>
      </c>
      <c r="F933">
        <v>2010</v>
      </c>
      <c r="G933" t="str">
        <f t="shared" si="14"/>
        <v>Green SOC2010</v>
      </c>
    </row>
    <row r="934" spans="1:7" x14ac:dyDescent="0.35">
      <c r="A934">
        <v>8134</v>
      </c>
      <c r="B934" t="str">
        <f>IF(F934=2020,INDEX(SOC2020_Structure!E:E,MATCH(sectorLookup!A934,SOC2020_Structure!D:D,0)),INDEX(SOC2010_Structure!E:E,MATCH(sectorLookup!A934,SOC2010_Structure!D:D,0)))</f>
        <v>Weighers, graders and sorters</v>
      </c>
      <c r="C934" t="s">
        <v>263</v>
      </c>
      <c r="D934" t="str">
        <f>INDEX('group info'!B:B,MATCH(sectorLookup!C934,'group info'!A:A,0))</f>
        <v>Green</v>
      </c>
      <c r="E934" t="s">
        <v>282</v>
      </c>
      <c r="F934">
        <v>2010</v>
      </c>
      <c r="G934" t="str">
        <f t="shared" si="14"/>
        <v>Green SOC2010</v>
      </c>
    </row>
    <row r="935" spans="1:7" x14ac:dyDescent="0.35">
      <c r="A935">
        <v>8129</v>
      </c>
      <c r="B935" t="str">
        <f>IF(F935=2020,INDEX(SOC2020_Structure!E:E,MATCH(sectorLookup!A935,SOC2020_Structure!D:D,0)),INDEX(SOC2010_Structure!E:E,MATCH(sectorLookup!A935,SOC2010_Structure!D:D,0)))</f>
        <v>Plant and machine operatives n.e.c.</v>
      </c>
      <c r="C935" t="s">
        <v>263</v>
      </c>
      <c r="D935" t="str">
        <f>INDEX('group info'!B:B,MATCH(sectorLookup!C935,'group info'!A:A,0))</f>
        <v>Green</v>
      </c>
      <c r="E935" t="s">
        <v>282</v>
      </c>
      <c r="F935">
        <v>2010</v>
      </c>
      <c r="G935" t="str">
        <f t="shared" si="14"/>
        <v>Green SOC2010</v>
      </c>
    </row>
    <row r="936" spans="1:7" x14ac:dyDescent="0.35">
      <c r="A936">
        <v>8124</v>
      </c>
      <c r="B936" t="str">
        <f>IF(F936=2020,INDEX(SOC2020_Structure!E:E,MATCH(sectorLookup!A936,SOC2020_Structure!D:D,0)),INDEX(SOC2010_Structure!E:E,MATCH(sectorLookup!A936,SOC2010_Structure!D:D,0)))</f>
        <v>Energy plant operatives</v>
      </c>
      <c r="C936" t="s">
        <v>263</v>
      </c>
      <c r="D936" t="str">
        <f>INDEX('group info'!B:B,MATCH(sectorLookup!C936,'group info'!A:A,0))</f>
        <v>Green</v>
      </c>
      <c r="E936" t="s">
        <v>282</v>
      </c>
      <c r="F936">
        <v>2010</v>
      </c>
      <c r="G936" t="str">
        <f t="shared" si="14"/>
        <v>Green SOC2010</v>
      </c>
    </row>
    <row r="937" spans="1:7" x14ac:dyDescent="0.35">
      <c r="A937">
        <v>8119</v>
      </c>
      <c r="B937" t="str">
        <f>IF(F937=2020,INDEX(SOC2020_Structure!E:E,MATCH(sectorLookup!A937,SOC2020_Structure!D:D,0)),INDEX(SOC2010_Structure!E:E,MATCH(sectorLookup!A937,SOC2010_Structure!D:D,0)))</f>
        <v>Process operatives n.e.c.</v>
      </c>
      <c r="C937" t="s">
        <v>263</v>
      </c>
      <c r="D937" t="str">
        <f>INDEX('group info'!B:B,MATCH(sectorLookup!C937,'group info'!A:A,0))</f>
        <v>Green</v>
      </c>
      <c r="E937" t="s">
        <v>282</v>
      </c>
      <c r="F937">
        <v>2010</v>
      </c>
      <c r="G937" t="str">
        <f t="shared" si="14"/>
        <v>Green SOC2010</v>
      </c>
    </row>
    <row r="938" spans="1:7" x14ac:dyDescent="0.35">
      <c r="A938">
        <v>8114</v>
      </c>
      <c r="B938" t="str">
        <f>IF(F938=2020,INDEX(SOC2020_Structure!E:E,MATCH(sectorLookup!A938,SOC2020_Structure!D:D,0)),INDEX(SOC2010_Structure!E:E,MATCH(sectorLookup!A938,SOC2010_Structure!D:D,0)))</f>
        <v>Chemical and related process operatives</v>
      </c>
      <c r="C938" t="s">
        <v>263</v>
      </c>
      <c r="D938" t="str">
        <f>INDEX('group info'!B:B,MATCH(sectorLookup!C938,'group info'!A:A,0))</f>
        <v>Green</v>
      </c>
      <c r="E938" t="s">
        <v>282</v>
      </c>
      <c r="F938">
        <v>2010</v>
      </c>
      <c r="G938" t="str">
        <f t="shared" si="14"/>
        <v>Green SOC2010</v>
      </c>
    </row>
    <row r="939" spans="1:7" x14ac:dyDescent="0.35">
      <c r="A939">
        <v>7130</v>
      </c>
      <c r="B939" t="str">
        <f>IF(F939=2020,INDEX(SOC2020_Structure!E:E,MATCH(sectorLookup!A939,SOC2020_Structure!D:D,0)),INDEX(SOC2010_Structure!E:E,MATCH(sectorLookup!A939,SOC2010_Structure!D:D,0)))</f>
        <v>Sales supervisors</v>
      </c>
      <c r="C939" t="s">
        <v>263</v>
      </c>
      <c r="D939" t="str">
        <f>INDEX('group info'!B:B,MATCH(sectorLookup!C939,'group info'!A:A,0))</f>
        <v>Green</v>
      </c>
      <c r="E939" t="s">
        <v>282</v>
      </c>
      <c r="F939">
        <v>2010</v>
      </c>
      <c r="G939" t="str">
        <f t="shared" si="14"/>
        <v>Green SOC2010</v>
      </c>
    </row>
    <row r="940" spans="1:7" x14ac:dyDescent="0.35">
      <c r="A940">
        <v>5330</v>
      </c>
      <c r="B940" t="str">
        <f>IF(F940=2020,INDEX(SOC2020_Structure!E:E,MATCH(sectorLookup!A940,SOC2020_Structure!D:D,0)),INDEX(SOC2010_Structure!E:E,MATCH(sectorLookup!A940,SOC2010_Structure!D:D,0)))</f>
        <v>Construction and building trades supervisors</v>
      </c>
      <c r="C940" t="s">
        <v>263</v>
      </c>
      <c r="D940" t="str">
        <f>INDEX('group info'!B:B,MATCH(sectorLookup!C940,'group info'!A:A,0))</f>
        <v>Green</v>
      </c>
      <c r="E940" t="s">
        <v>282</v>
      </c>
      <c r="F940">
        <v>2010</v>
      </c>
      <c r="G940" t="str">
        <f t="shared" si="14"/>
        <v>Green SOC2010</v>
      </c>
    </row>
    <row r="941" spans="1:7" x14ac:dyDescent="0.35">
      <c r="A941">
        <v>5311</v>
      </c>
      <c r="B941" t="str">
        <f>IF(F941=2020,INDEX(SOC2020_Structure!E:E,MATCH(sectorLookup!A941,SOC2020_Structure!D:D,0)),INDEX(SOC2010_Structure!E:E,MATCH(sectorLookup!A941,SOC2010_Structure!D:D,0)))</f>
        <v>Steel erectors</v>
      </c>
      <c r="C941" t="s">
        <v>263</v>
      </c>
      <c r="D941" t="str">
        <f>INDEX('group info'!B:B,MATCH(sectorLookup!C941,'group info'!A:A,0))</f>
        <v>Green</v>
      </c>
      <c r="E941" t="s">
        <v>282</v>
      </c>
      <c r="F941">
        <v>2010</v>
      </c>
      <c r="G941" t="str">
        <f t="shared" si="14"/>
        <v>Green SOC2010</v>
      </c>
    </row>
    <row r="942" spans="1:7" x14ac:dyDescent="0.35">
      <c r="A942">
        <v>5224</v>
      </c>
      <c r="B942" t="str">
        <f>IF(F942=2020,INDEX(SOC2020_Structure!E:E,MATCH(sectorLookup!A942,SOC2020_Structure!D:D,0)),INDEX(SOC2010_Structure!E:E,MATCH(sectorLookup!A942,SOC2010_Structure!D:D,0)))</f>
        <v>Precision instrument makers and repairers</v>
      </c>
      <c r="C942" t="s">
        <v>263</v>
      </c>
      <c r="D942" t="str">
        <f>INDEX('group info'!B:B,MATCH(sectorLookup!C942,'group info'!A:A,0))</f>
        <v>Green</v>
      </c>
      <c r="E942" t="s">
        <v>282</v>
      </c>
      <c r="F942">
        <v>2010</v>
      </c>
      <c r="G942" t="str">
        <f t="shared" si="14"/>
        <v>Green SOC2010</v>
      </c>
    </row>
    <row r="943" spans="1:7" x14ac:dyDescent="0.35">
      <c r="A943">
        <v>5223</v>
      </c>
      <c r="B943" t="str">
        <f>IF(F943=2020,INDEX(SOC2020_Structure!E:E,MATCH(sectorLookup!A943,SOC2020_Structure!D:D,0)),INDEX(SOC2010_Structure!E:E,MATCH(sectorLookup!A943,SOC2010_Structure!D:D,0)))</f>
        <v>Metal working production and maintenance fitters</v>
      </c>
      <c r="C943" t="s">
        <v>263</v>
      </c>
      <c r="D943" t="str">
        <f>INDEX('group info'!B:B,MATCH(sectorLookup!C943,'group info'!A:A,0))</f>
        <v>Green</v>
      </c>
      <c r="E943" t="s">
        <v>282</v>
      </c>
      <c r="F943">
        <v>2010</v>
      </c>
      <c r="G943" t="str">
        <f t="shared" si="14"/>
        <v>Green SOC2010</v>
      </c>
    </row>
    <row r="944" spans="1:7" x14ac:dyDescent="0.35">
      <c r="A944">
        <v>5221</v>
      </c>
      <c r="B944" t="str">
        <f>IF(F944=2020,INDEX(SOC2020_Structure!E:E,MATCH(sectorLookup!A944,SOC2020_Structure!D:D,0)),INDEX(SOC2010_Structure!E:E,MATCH(sectorLookup!A944,SOC2010_Structure!D:D,0)))</f>
        <v>Metal machining setters and setter-operators</v>
      </c>
      <c r="C944" t="s">
        <v>263</v>
      </c>
      <c r="D944" t="str">
        <f>INDEX('group info'!B:B,MATCH(sectorLookup!C944,'group info'!A:A,0))</f>
        <v>Green</v>
      </c>
      <c r="E944" t="s">
        <v>282</v>
      </c>
      <c r="F944">
        <v>2010</v>
      </c>
      <c r="G944" t="str">
        <f t="shared" si="14"/>
        <v>Green SOC2010</v>
      </c>
    </row>
    <row r="945" spans="1:7" x14ac:dyDescent="0.35">
      <c r="A945">
        <v>5215</v>
      </c>
      <c r="B945" t="str">
        <f>IF(F945=2020,INDEX(SOC2020_Structure!E:E,MATCH(sectorLookup!A945,SOC2020_Structure!D:D,0)),INDEX(SOC2010_Structure!E:E,MATCH(sectorLookup!A945,SOC2010_Structure!D:D,0)))</f>
        <v>Welding trades</v>
      </c>
      <c r="C945" t="s">
        <v>263</v>
      </c>
      <c r="D945" t="str">
        <f>INDEX('group info'!B:B,MATCH(sectorLookup!C945,'group info'!A:A,0))</f>
        <v>Green</v>
      </c>
      <c r="E945" t="s">
        <v>282</v>
      </c>
      <c r="F945">
        <v>2010</v>
      </c>
      <c r="G945" t="str">
        <f t="shared" si="14"/>
        <v>Green SOC2010</v>
      </c>
    </row>
    <row r="946" spans="1:7" x14ac:dyDescent="0.35">
      <c r="A946">
        <v>5214</v>
      </c>
      <c r="B946" t="str">
        <f>IF(F946=2020,INDEX(SOC2020_Structure!E:E,MATCH(sectorLookup!A946,SOC2020_Structure!D:D,0)),INDEX(SOC2010_Structure!E:E,MATCH(sectorLookup!A946,SOC2010_Structure!D:D,0)))</f>
        <v>Metal plate workers, and riveters</v>
      </c>
      <c r="C946" t="s">
        <v>263</v>
      </c>
      <c r="D946" t="str">
        <f>INDEX('group info'!B:B,MATCH(sectorLookup!C946,'group info'!A:A,0))</f>
        <v>Green</v>
      </c>
      <c r="E946" t="s">
        <v>282</v>
      </c>
      <c r="F946">
        <v>2010</v>
      </c>
      <c r="G946" t="str">
        <f t="shared" si="14"/>
        <v>Green SOC2010</v>
      </c>
    </row>
    <row r="947" spans="1:7" x14ac:dyDescent="0.35">
      <c r="A947">
        <v>5213</v>
      </c>
      <c r="B947" t="str">
        <f>IF(F947=2020,INDEX(SOC2020_Structure!E:E,MATCH(sectorLookup!A947,SOC2020_Structure!D:D,0)),INDEX(SOC2010_Structure!E:E,MATCH(sectorLookup!A947,SOC2010_Structure!D:D,0)))</f>
        <v>Sheet metal workers</v>
      </c>
      <c r="C947" t="s">
        <v>263</v>
      </c>
      <c r="D947" t="str">
        <f>INDEX('group info'!B:B,MATCH(sectorLookup!C947,'group info'!A:A,0))</f>
        <v>Green</v>
      </c>
      <c r="E947" t="s">
        <v>282</v>
      </c>
      <c r="F947">
        <v>2010</v>
      </c>
      <c r="G947" t="str">
        <f t="shared" si="14"/>
        <v>Green SOC2010</v>
      </c>
    </row>
    <row r="948" spans="1:7" x14ac:dyDescent="0.35">
      <c r="A948">
        <v>5212</v>
      </c>
      <c r="B948" t="str">
        <f>IF(F948=2020,INDEX(SOC2020_Structure!E:E,MATCH(sectorLookup!A948,SOC2020_Structure!D:D,0)),INDEX(SOC2010_Structure!E:E,MATCH(sectorLookup!A948,SOC2010_Structure!D:D,0)))</f>
        <v>Moulders, core makers and die casters</v>
      </c>
      <c r="C948" t="s">
        <v>263</v>
      </c>
      <c r="D948" t="str">
        <f>INDEX('group info'!B:B,MATCH(sectorLookup!C948,'group info'!A:A,0))</f>
        <v>Green</v>
      </c>
      <c r="E948" t="s">
        <v>282</v>
      </c>
      <c r="F948">
        <v>2010</v>
      </c>
      <c r="G948" t="str">
        <f t="shared" si="14"/>
        <v>Green SOC2010</v>
      </c>
    </row>
    <row r="949" spans="1:7" x14ac:dyDescent="0.35">
      <c r="A949">
        <v>5211</v>
      </c>
      <c r="B949" t="str">
        <f>IF(F949=2020,INDEX(SOC2020_Structure!E:E,MATCH(sectorLookup!A949,SOC2020_Structure!D:D,0)),INDEX(SOC2010_Structure!E:E,MATCH(sectorLookup!A949,SOC2010_Structure!D:D,0)))</f>
        <v>Smiths and forge workers</v>
      </c>
      <c r="C949" t="s">
        <v>263</v>
      </c>
      <c r="D949" t="str">
        <f>INDEX('group info'!B:B,MATCH(sectorLookup!C949,'group info'!A:A,0))</f>
        <v>Green</v>
      </c>
      <c r="E949" t="s">
        <v>282</v>
      </c>
      <c r="F949">
        <v>2010</v>
      </c>
      <c r="G949" t="str">
        <f t="shared" si="14"/>
        <v>Green SOC2010</v>
      </c>
    </row>
    <row r="950" spans="1:7" x14ac:dyDescent="0.35">
      <c r="A950">
        <v>4131</v>
      </c>
      <c r="B950" t="str">
        <f>IF(F950=2020,INDEX(SOC2020_Structure!E:E,MATCH(sectorLookup!A950,SOC2020_Structure!D:D,0)),INDEX(SOC2010_Structure!E:E,MATCH(sectorLookup!A950,SOC2010_Structure!D:D,0)))</f>
        <v>Records clerks and assistants</v>
      </c>
      <c r="C950" t="s">
        <v>263</v>
      </c>
      <c r="D950" t="str">
        <f>INDEX('group info'!B:B,MATCH(sectorLookup!C950,'group info'!A:A,0))</f>
        <v>Green</v>
      </c>
      <c r="E950" t="s">
        <v>282</v>
      </c>
      <c r="F950">
        <v>2010</v>
      </c>
      <c r="G950" t="str">
        <f t="shared" si="14"/>
        <v>Green SOC2010</v>
      </c>
    </row>
    <row r="951" spans="1:7" x14ac:dyDescent="0.35">
      <c r="A951">
        <v>3567</v>
      </c>
      <c r="B951" t="str">
        <f>IF(F951=2020,INDEX(SOC2020_Structure!E:E,MATCH(sectorLookup!A951,SOC2020_Structure!D:D,0)),INDEX(SOC2010_Structure!E:E,MATCH(sectorLookup!A951,SOC2010_Structure!D:D,0)))</f>
        <v>Health and safety officers</v>
      </c>
      <c r="C951" t="s">
        <v>263</v>
      </c>
      <c r="D951" t="str">
        <f>INDEX('group info'!B:B,MATCH(sectorLookup!C951,'group info'!A:A,0))</f>
        <v>Green</v>
      </c>
      <c r="E951" t="s">
        <v>282</v>
      </c>
      <c r="F951">
        <v>2010</v>
      </c>
      <c r="G951" t="str">
        <f t="shared" si="14"/>
        <v>Green SOC2010</v>
      </c>
    </row>
    <row r="952" spans="1:7" x14ac:dyDescent="0.35">
      <c r="A952">
        <v>3563</v>
      </c>
      <c r="B952" t="str">
        <f>IF(F952=2020,INDEX(SOC2020_Structure!E:E,MATCH(sectorLookup!A952,SOC2020_Structure!D:D,0)),INDEX(SOC2010_Structure!E:E,MATCH(sectorLookup!A952,SOC2010_Structure!D:D,0)))</f>
        <v>Vocational and industrial trainers and instructors</v>
      </c>
      <c r="C952" t="s">
        <v>263</v>
      </c>
      <c r="D952" t="str">
        <f>INDEX('group info'!B:B,MATCH(sectorLookup!C952,'group info'!A:A,0))</f>
        <v>Green</v>
      </c>
      <c r="E952" t="s">
        <v>282</v>
      </c>
      <c r="F952">
        <v>2010</v>
      </c>
      <c r="G952" t="str">
        <f t="shared" si="14"/>
        <v>Green SOC2010</v>
      </c>
    </row>
    <row r="953" spans="1:7" x14ac:dyDescent="0.35">
      <c r="A953">
        <v>3550</v>
      </c>
      <c r="B953" t="str">
        <f>IF(F953=2020,INDEX(SOC2020_Structure!E:E,MATCH(sectorLookup!A953,SOC2020_Structure!D:D,0)),INDEX(SOC2010_Structure!E:E,MATCH(sectorLookup!A953,SOC2010_Structure!D:D,0)))</f>
        <v>Conservation and environmental associate professionals</v>
      </c>
      <c r="C953" t="s">
        <v>263</v>
      </c>
      <c r="D953" t="str">
        <f>INDEX('group info'!B:B,MATCH(sectorLookup!C953,'group info'!A:A,0))</f>
        <v>Green</v>
      </c>
      <c r="E953" t="s">
        <v>282</v>
      </c>
      <c r="F953">
        <v>2010</v>
      </c>
      <c r="G953" t="str">
        <f t="shared" si="14"/>
        <v>Green SOC2010</v>
      </c>
    </row>
    <row r="954" spans="1:7" x14ac:dyDescent="0.35">
      <c r="A954">
        <v>3545</v>
      </c>
      <c r="B954" t="str">
        <f>IF(F954=2020,INDEX(SOC2020_Structure!E:E,MATCH(sectorLookup!A954,SOC2020_Structure!D:D,0)),INDEX(SOC2010_Structure!E:E,MATCH(sectorLookup!A954,SOC2010_Structure!D:D,0)))</f>
        <v>Sales accounts and business development managers</v>
      </c>
      <c r="C954" t="s">
        <v>263</v>
      </c>
      <c r="D954" t="str">
        <f>INDEX('group info'!B:B,MATCH(sectorLookup!C954,'group info'!A:A,0))</f>
        <v>Green</v>
      </c>
      <c r="E954" t="s">
        <v>282</v>
      </c>
      <c r="F954">
        <v>2010</v>
      </c>
      <c r="G954" t="str">
        <f t="shared" si="14"/>
        <v>Green SOC2010</v>
      </c>
    </row>
    <row r="955" spans="1:7" x14ac:dyDescent="0.35">
      <c r="A955">
        <v>3541</v>
      </c>
      <c r="B955" t="str">
        <f>IF(F955=2020,INDEX(SOC2020_Structure!E:E,MATCH(sectorLookup!A955,SOC2020_Structure!D:D,0)),INDEX(SOC2010_Structure!E:E,MATCH(sectorLookup!A955,SOC2010_Structure!D:D,0)))</f>
        <v>Buyers and procurement officers</v>
      </c>
      <c r="C955" t="s">
        <v>263</v>
      </c>
      <c r="D955" t="str">
        <f>INDEX('group info'!B:B,MATCH(sectorLookup!C955,'group info'!A:A,0))</f>
        <v>Green</v>
      </c>
      <c r="E955" t="s">
        <v>282</v>
      </c>
      <c r="F955">
        <v>2010</v>
      </c>
      <c r="G955" t="str">
        <f t="shared" si="14"/>
        <v>Green SOC2010</v>
      </c>
    </row>
    <row r="956" spans="1:7" x14ac:dyDescent="0.35">
      <c r="A956">
        <v>3539</v>
      </c>
      <c r="B956" t="str">
        <f>IF(F956=2020,INDEX(SOC2020_Structure!E:E,MATCH(sectorLookup!A956,SOC2020_Structure!D:D,0)),INDEX(SOC2010_Structure!E:E,MATCH(sectorLookup!A956,SOC2010_Structure!D:D,0)))</f>
        <v>Business and related associate professionals n.e.c.</v>
      </c>
      <c r="C956" t="s">
        <v>263</v>
      </c>
      <c r="D956" t="str">
        <f>INDEX('group info'!B:B,MATCH(sectorLookup!C956,'group info'!A:A,0))</f>
        <v>Green</v>
      </c>
      <c r="E956" t="s">
        <v>282</v>
      </c>
      <c r="F956">
        <v>2010</v>
      </c>
      <c r="G956" t="str">
        <f t="shared" si="14"/>
        <v>Green SOC2010</v>
      </c>
    </row>
    <row r="957" spans="1:7" x14ac:dyDescent="0.35">
      <c r="A957">
        <v>3531</v>
      </c>
      <c r="B957" t="str">
        <f>IF(F957=2020,INDEX(SOC2020_Structure!E:E,MATCH(sectorLookup!A957,SOC2020_Structure!D:D,0)),INDEX(SOC2010_Structure!E:E,MATCH(sectorLookup!A957,SOC2010_Structure!D:D,0)))</f>
        <v>Estimators, valuers and assessors</v>
      </c>
      <c r="C957" t="s">
        <v>263</v>
      </c>
      <c r="D957" t="str">
        <f>INDEX('group info'!B:B,MATCH(sectorLookup!C957,'group info'!A:A,0))</f>
        <v>Green</v>
      </c>
      <c r="E957" t="s">
        <v>282</v>
      </c>
      <c r="F957">
        <v>2010</v>
      </c>
      <c r="G957" t="str">
        <f t="shared" si="14"/>
        <v>Green SOC2010</v>
      </c>
    </row>
    <row r="958" spans="1:7" x14ac:dyDescent="0.35">
      <c r="A958">
        <v>3422</v>
      </c>
      <c r="B958" t="str">
        <f>IF(F958=2020,INDEX(SOC2020_Structure!E:E,MATCH(sectorLookup!A958,SOC2020_Structure!D:D,0)),INDEX(SOC2010_Structure!E:E,MATCH(sectorLookup!A958,SOC2010_Structure!D:D,0)))</f>
        <v>Product, clothing and related designers</v>
      </c>
      <c r="C958" t="s">
        <v>263</v>
      </c>
      <c r="D958" t="str">
        <f>INDEX('group info'!B:B,MATCH(sectorLookup!C958,'group info'!A:A,0))</f>
        <v>Green</v>
      </c>
      <c r="E958" t="s">
        <v>282</v>
      </c>
      <c r="F958">
        <v>2010</v>
      </c>
      <c r="G958" t="str">
        <f t="shared" si="14"/>
        <v>Green SOC2010</v>
      </c>
    </row>
    <row r="959" spans="1:7" x14ac:dyDescent="0.35">
      <c r="A959">
        <v>3122</v>
      </c>
      <c r="B959" t="str">
        <f>IF(F959=2020,INDEX(SOC2020_Structure!E:E,MATCH(sectorLookup!A959,SOC2020_Structure!D:D,0)),INDEX(SOC2010_Structure!E:E,MATCH(sectorLookup!A959,SOC2010_Structure!D:D,0)))</f>
        <v>Draughtspersons</v>
      </c>
      <c r="C959" t="s">
        <v>263</v>
      </c>
      <c r="D959" t="str">
        <f>INDEX('group info'!B:B,MATCH(sectorLookup!C959,'group info'!A:A,0))</f>
        <v>Green</v>
      </c>
      <c r="E959" t="s">
        <v>282</v>
      </c>
      <c r="F959">
        <v>2010</v>
      </c>
      <c r="G959" t="str">
        <f t="shared" si="14"/>
        <v>Green SOC2010</v>
      </c>
    </row>
    <row r="960" spans="1:7" x14ac:dyDescent="0.35">
      <c r="A960">
        <v>3121</v>
      </c>
      <c r="B960" t="str">
        <f>IF(F960=2020,INDEX(SOC2020_Structure!E:E,MATCH(sectorLookup!A960,SOC2020_Structure!D:D,0)),INDEX(SOC2010_Structure!E:E,MATCH(sectorLookup!A960,SOC2010_Structure!D:D,0)))</f>
        <v>Architectural and town planning technicians</v>
      </c>
      <c r="C960" t="s">
        <v>263</v>
      </c>
      <c r="D960" t="str">
        <f>INDEX('group info'!B:B,MATCH(sectorLookup!C960,'group info'!A:A,0))</f>
        <v>Green</v>
      </c>
      <c r="E960" t="s">
        <v>282</v>
      </c>
      <c r="F960">
        <v>2010</v>
      </c>
      <c r="G960" t="str">
        <f t="shared" si="14"/>
        <v>Green SOC2010</v>
      </c>
    </row>
    <row r="961" spans="1:7" x14ac:dyDescent="0.35">
      <c r="A961">
        <v>3119</v>
      </c>
      <c r="B961" t="str">
        <f>IF(F961=2020,INDEX(SOC2020_Structure!E:E,MATCH(sectorLookup!A961,SOC2020_Structure!D:D,0)),INDEX(SOC2010_Structure!E:E,MATCH(sectorLookup!A961,SOC2010_Structure!D:D,0)))</f>
        <v>Science, engineering and production technicians n.e.c.</v>
      </c>
      <c r="C961" t="s">
        <v>263</v>
      </c>
      <c r="D961" t="str">
        <f>INDEX('group info'!B:B,MATCH(sectorLookup!C961,'group info'!A:A,0))</f>
        <v>Green</v>
      </c>
      <c r="E961" t="s">
        <v>282</v>
      </c>
      <c r="F961">
        <v>2010</v>
      </c>
      <c r="G961" t="str">
        <f t="shared" si="14"/>
        <v>Green SOC2010</v>
      </c>
    </row>
    <row r="962" spans="1:7" x14ac:dyDescent="0.35">
      <c r="A962">
        <v>3113</v>
      </c>
      <c r="B962" t="str">
        <f>IF(F962=2020,INDEX(SOC2020_Structure!E:E,MATCH(sectorLookup!A962,SOC2020_Structure!D:D,0)),INDEX(SOC2010_Structure!E:E,MATCH(sectorLookup!A962,SOC2010_Structure!D:D,0)))</f>
        <v>Engineering technicians</v>
      </c>
      <c r="C962" t="s">
        <v>263</v>
      </c>
      <c r="D962" t="str">
        <f>INDEX('group info'!B:B,MATCH(sectorLookup!C962,'group info'!A:A,0))</f>
        <v>Green</v>
      </c>
      <c r="E962" t="s">
        <v>282</v>
      </c>
      <c r="F962">
        <v>2010</v>
      </c>
      <c r="G962" t="str">
        <f t="shared" si="14"/>
        <v>Green SOC2010</v>
      </c>
    </row>
    <row r="963" spans="1:7" x14ac:dyDescent="0.35">
      <c r="A963">
        <v>3112</v>
      </c>
      <c r="B963" t="str">
        <f>IF(F963=2020,INDEX(SOC2020_Structure!E:E,MATCH(sectorLookup!A963,SOC2020_Structure!D:D,0)),INDEX(SOC2010_Structure!E:E,MATCH(sectorLookup!A963,SOC2010_Structure!D:D,0)))</f>
        <v>Electrical and electronics technicians</v>
      </c>
      <c r="C963" t="s">
        <v>263</v>
      </c>
      <c r="D963" t="str">
        <f>INDEX('group info'!B:B,MATCH(sectorLookup!C963,'group info'!A:A,0))</f>
        <v>Green</v>
      </c>
      <c r="E963" t="s">
        <v>282</v>
      </c>
      <c r="F963">
        <v>2010</v>
      </c>
      <c r="G963" t="str">
        <f t="shared" ref="G963:G1026" si="15">D963&amp;" SOC"&amp;F963</f>
        <v>Green SOC2010</v>
      </c>
    </row>
    <row r="964" spans="1:7" x14ac:dyDescent="0.35">
      <c r="A964">
        <v>3111</v>
      </c>
      <c r="B964" t="str">
        <f>IF(F964=2020,INDEX(SOC2020_Structure!E:E,MATCH(sectorLookup!A964,SOC2020_Structure!D:D,0)),INDEX(SOC2010_Structure!E:E,MATCH(sectorLookup!A964,SOC2010_Structure!D:D,0)))</f>
        <v>Laboratory technicians</v>
      </c>
      <c r="C964" t="s">
        <v>263</v>
      </c>
      <c r="D964" t="str">
        <f>INDEX('group info'!B:B,MATCH(sectorLookup!C964,'group info'!A:A,0))</f>
        <v>Green</v>
      </c>
      <c r="E964" t="s">
        <v>282</v>
      </c>
      <c r="F964">
        <v>2010</v>
      </c>
      <c r="G964" t="str">
        <f t="shared" si="15"/>
        <v>Green SOC2010</v>
      </c>
    </row>
    <row r="965" spans="1:7" x14ac:dyDescent="0.35">
      <c r="A965">
        <v>2472</v>
      </c>
      <c r="B965" t="str">
        <f>IF(F965=2020,INDEX(SOC2020_Structure!E:E,MATCH(sectorLookup!A965,SOC2020_Structure!D:D,0)),INDEX(SOC2010_Structure!E:E,MATCH(sectorLookup!A965,SOC2010_Structure!D:D,0)))</f>
        <v>Public relations professionals</v>
      </c>
      <c r="C965" t="s">
        <v>263</v>
      </c>
      <c r="D965" t="str">
        <f>INDEX('group info'!B:B,MATCH(sectorLookup!C965,'group info'!A:A,0))</f>
        <v>Green</v>
      </c>
      <c r="E965" t="s">
        <v>282</v>
      </c>
      <c r="F965">
        <v>2010</v>
      </c>
      <c r="G965" t="str">
        <f t="shared" si="15"/>
        <v>Green SOC2010</v>
      </c>
    </row>
    <row r="966" spans="1:7" x14ac:dyDescent="0.35">
      <c r="A966">
        <v>2462</v>
      </c>
      <c r="B966" t="str">
        <f>IF(F966=2020,INDEX(SOC2020_Structure!E:E,MATCH(sectorLookup!A966,SOC2020_Structure!D:D,0)),INDEX(SOC2010_Structure!E:E,MATCH(sectorLookup!A966,SOC2010_Structure!D:D,0)))</f>
        <v>Quality assurance and regulatory professionals</v>
      </c>
      <c r="C966" t="s">
        <v>263</v>
      </c>
      <c r="D966" t="str">
        <f>INDEX('group info'!B:B,MATCH(sectorLookup!C966,'group info'!A:A,0))</f>
        <v>Green</v>
      </c>
      <c r="E966" t="s">
        <v>282</v>
      </c>
      <c r="F966">
        <v>2010</v>
      </c>
      <c r="G966" t="str">
        <f t="shared" si="15"/>
        <v>Green SOC2010</v>
      </c>
    </row>
    <row r="967" spans="1:7" x14ac:dyDescent="0.35">
      <c r="A967">
        <v>2436</v>
      </c>
      <c r="B967" t="str">
        <f>IF(F967=2020,INDEX(SOC2020_Structure!E:E,MATCH(sectorLookup!A967,SOC2020_Structure!D:D,0)),INDEX(SOC2010_Structure!E:E,MATCH(sectorLookup!A967,SOC2010_Structure!D:D,0)))</f>
        <v>Construction project managers and related professionals</v>
      </c>
      <c r="C967" t="s">
        <v>263</v>
      </c>
      <c r="D967" t="str">
        <f>INDEX('group info'!B:B,MATCH(sectorLookup!C967,'group info'!A:A,0))</f>
        <v>Green</v>
      </c>
      <c r="E967" t="s">
        <v>282</v>
      </c>
      <c r="F967">
        <v>2010</v>
      </c>
      <c r="G967" t="str">
        <f t="shared" si="15"/>
        <v>Green SOC2010</v>
      </c>
    </row>
    <row r="968" spans="1:7" x14ac:dyDescent="0.35">
      <c r="A968">
        <v>2435</v>
      </c>
      <c r="B968" t="str">
        <f>IF(F968=2020,INDEX(SOC2020_Structure!E:E,MATCH(sectorLookup!A968,SOC2020_Structure!D:D,0)),INDEX(SOC2010_Structure!E:E,MATCH(sectorLookup!A968,SOC2010_Structure!D:D,0)))</f>
        <v>Chartered architectural technologists</v>
      </c>
      <c r="C968" t="s">
        <v>263</v>
      </c>
      <c r="D968" t="str">
        <f>INDEX('group info'!B:B,MATCH(sectorLookup!C968,'group info'!A:A,0))</f>
        <v>Green</v>
      </c>
      <c r="E968" t="s">
        <v>282</v>
      </c>
      <c r="F968">
        <v>2010</v>
      </c>
      <c r="G968" t="str">
        <f t="shared" si="15"/>
        <v>Green SOC2010</v>
      </c>
    </row>
    <row r="969" spans="1:7" x14ac:dyDescent="0.35">
      <c r="A969">
        <v>2432</v>
      </c>
      <c r="B969" t="str">
        <f>IF(F969=2020,INDEX(SOC2020_Structure!E:E,MATCH(sectorLookup!A969,SOC2020_Structure!D:D,0)),INDEX(SOC2010_Structure!E:E,MATCH(sectorLookup!A969,SOC2010_Structure!D:D,0)))</f>
        <v>Town planning officers</v>
      </c>
      <c r="C969" t="s">
        <v>263</v>
      </c>
      <c r="D969" t="str">
        <f>INDEX('group info'!B:B,MATCH(sectorLookup!C969,'group info'!A:A,0))</f>
        <v>Green</v>
      </c>
      <c r="E969" t="s">
        <v>282</v>
      </c>
      <c r="F969">
        <v>2010</v>
      </c>
      <c r="G969" t="str">
        <f t="shared" si="15"/>
        <v>Green SOC2010</v>
      </c>
    </row>
    <row r="970" spans="1:7" x14ac:dyDescent="0.35">
      <c r="A970">
        <v>2429</v>
      </c>
      <c r="B970" t="str">
        <f>IF(F970=2020,INDEX(SOC2020_Structure!E:E,MATCH(sectorLookup!A970,SOC2020_Structure!D:D,0)),INDEX(SOC2010_Structure!E:E,MATCH(sectorLookup!A970,SOC2010_Structure!D:D,0)))</f>
        <v>Business, research and administrative professionals n.e.c.</v>
      </c>
      <c r="C970" t="s">
        <v>263</v>
      </c>
      <c r="D970" t="str">
        <f>INDEX('group info'!B:B,MATCH(sectorLookup!C970,'group info'!A:A,0))</f>
        <v>Green</v>
      </c>
      <c r="E970" t="s">
        <v>282</v>
      </c>
      <c r="F970">
        <v>2010</v>
      </c>
      <c r="G970" t="str">
        <f t="shared" si="15"/>
        <v>Green SOC2010</v>
      </c>
    </row>
    <row r="971" spans="1:7" x14ac:dyDescent="0.35">
      <c r="A971">
        <v>2424</v>
      </c>
      <c r="B971" t="str">
        <f>IF(F971=2020,INDEX(SOC2020_Structure!E:E,MATCH(sectorLookup!A971,SOC2020_Structure!D:D,0)),INDEX(SOC2010_Structure!E:E,MATCH(sectorLookup!A971,SOC2010_Structure!D:D,0)))</f>
        <v>Business and financial project management professionals</v>
      </c>
      <c r="C971" t="s">
        <v>263</v>
      </c>
      <c r="D971" t="str">
        <f>INDEX('group info'!B:B,MATCH(sectorLookup!C971,'group info'!A:A,0))</f>
        <v>Green</v>
      </c>
      <c r="E971" t="s">
        <v>282</v>
      </c>
      <c r="F971">
        <v>2010</v>
      </c>
      <c r="G971" t="str">
        <f t="shared" si="15"/>
        <v>Green SOC2010</v>
      </c>
    </row>
    <row r="972" spans="1:7" x14ac:dyDescent="0.35">
      <c r="A972">
        <v>2419</v>
      </c>
      <c r="B972" t="str">
        <f>IF(F972=2020,INDEX(SOC2020_Structure!E:E,MATCH(sectorLookup!A972,SOC2020_Structure!D:D,0)),INDEX(SOC2010_Structure!E:E,MATCH(sectorLookup!A972,SOC2010_Structure!D:D,0)))</f>
        <v>Legal professionals n.e.c.</v>
      </c>
      <c r="C972" t="s">
        <v>263</v>
      </c>
      <c r="D972" t="str">
        <f>INDEX('group info'!B:B,MATCH(sectorLookup!C972,'group info'!A:A,0))</f>
        <v>Green</v>
      </c>
      <c r="E972" t="s">
        <v>282</v>
      </c>
      <c r="F972">
        <v>2010</v>
      </c>
      <c r="G972" t="str">
        <f t="shared" si="15"/>
        <v>Green SOC2010</v>
      </c>
    </row>
    <row r="973" spans="1:7" x14ac:dyDescent="0.35">
      <c r="A973">
        <v>2142</v>
      </c>
      <c r="B973" t="str">
        <f>IF(F973=2020,INDEX(SOC2020_Structure!E:E,MATCH(sectorLookup!A973,SOC2020_Structure!D:D,0)),INDEX(SOC2010_Structure!E:E,MATCH(sectorLookup!A973,SOC2010_Structure!D:D,0)))</f>
        <v>Environment professionals</v>
      </c>
      <c r="C973" t="s">
        <v>263</v>
      </c>
      <c r="D973" t="str">
        <f>INDEX('group info'!B:B,MATCH(sectorLookup!C973,'group info'!A:A,0))</f>
        <v>Green</v>
      </c>
      <c r="E973" t="s">
        <v>282</v>
      </c>
      <c r="F973">
        <v>2010</v>
      </c>
      <c r="G973" t="str">
        <f t="shared" si="15"/>
        <v>Green SOC2010</v>
      </c>
    </row>
    <row r="974" spans="1:7" x14ac:dyDescent="0.35">
      <c r="A974">
        <v>2133</v>
      </c>
      <c r="B974" t="str">
        <f>IF(F974=2020,INDEX(SOC2020_Structure!E:E,MATCH(sectorLookup!A974,SOC2020_Structure!D:D,0)),INDEX(SOC2010_Structure!E:E,MATCH(sectorLookup!A974,SOC2010_Structure!D:D,0)))</f>
        <v>IT specialist managers</v>
      </c>
      <c r="C974" t="s">
        <v>263</v>
      </c>
      <c r="D974" t="str">
        <f>INDEX('group info'!B:B,MATCH(sectorLookup!C974,'group info'!A:A,0))</f>
        <v>Green</v>
      </c>
      <c r="E974" t="s">
        <v>282</v>
      </c>
      <c r="F974">
        <v>2010</v>
      </c>
      <c r="G974" t="str">
        <f t="shared" si="15"/>
        <v>Green SOC2010</v>
      </c>
    </row>
    <row r="975" spans="1:7" x14ac:dyDescent="0.35">
      <c r="A975">
        <v>2129</v>
      </c>
      <c r="B975" t="str">
        <f>IF(F975=2020,INDEX(SOC2020_Structure!E:E,MATCH(sectorLookup!A975,SOC2020_Structure!D:D,0)),INDEX(SOC2010_Structure!E:E,MATCH(sectorLookup!A975,SOC2010_Structure!D:D,0)))</f>
        <v>Engineering professionals n.e.c.</v>
      </c>
      <c r="C975" t="s">
        <v>263</v>
      </c>
      <c r="D975" t="str">
        <f>INDEX('group info'!B:B,MATCH(sectorLookup!C975,'group info'!A:A,0))</f>
        <v>Green</v>
      </c>
      <c r="E975" t="s">
        <v>282</v>
      </c>
      <c r="F975">
        <v>2010</v>
      </c>
      <c r="G975" t="str">
        <f t="shared" si="15"/>
        <v>Green SOC2010</v>
      </c>
    </row>
    <row r="976" spans="1:7" x14ac:dyDescent="0.35">
      <c r="A976">
        <v>2127</v>
      </c>
      <c r="B976" t="str">
        <f>IF(F976=2020,INDEX(SOC2020_Structure!E:E,MATCH(sectorLookup!A976,SOC2020_Structure!D:D,0)),INDEX(SOC2010_Structure!E:E,MATCH(sectorLookup!A976,SOC2010_Structure!D:D,0)))</f>
        <v>Production and process engineers</v>
      </c>
      <c r="C976" t="s">
        <v>263</v>
      </c>
      <c r="D976" t="str">
        <f>INDEX('group info'!B:B,MATCH(sectorLookup!C976,'group info'!A:A,0))</f>
        <v>Green</v>
      </c>
      <c r="E976" t="s">
        <v>282</v>
      </c>
      <c r="F976">
        <v>2010</v>
      </c>
      <c r="G976" t="str">
        <f t="shared" si="15"/>
        <v>Green SOC2010</v>
      </c>
    </row>
    <row r="977" spans="1:7" x14ac:dyDescent="0.35">
      <c r="A977">
        <v>2123</v>
      </c>
      <c r="B977" t="str">
        <f>IF(F977=2020,INDEX(SOC2020_Structure!E:E,MATCH(sectorLookup!A977,SOC2020_Structure!D:D,0)),INDEX(SOC2010_Structure!E:E,MATCH(sectorLookup!A977,SOC2010_Structure!D:D,0)))</f>
        <v>Electrical engineers</v>
      </c>
      <c r="C977" t="s">
        <v>263</v>
      </c>
      <c r="D977" t="str">
        <f>INDEX('group info'!B:B,MATCH(sectorLookup!C977,'group info'!A:A,0))</f>
        <v>Green</v>
      </c>
      <c r="E977" t="s">
        <v>282</v>
      </c>
      <c r="F977">
        <v>2010</v>
      </c>
      <c r="G977" t="str">
        <f t="shared" si="15"/>
        <v>Green SOC2010</v>
      </c>
    </row>
    <row r="978" spans="1:7" x14ac:dyDescent="0.35">
      <c r="A978">
        <v>2122</v>
      </c>
      <c r="B978" t="str">
        <f>IF(F978=2020,INDEX(SOC2020_Structure!E:E,MATCH(sectorLookup!A978,SOC2020_Structure!D:D,0)),INDEX(SOC2010_Structure!E:E,MATCH(sectorLookup!A978,SOC2010_Structure!D:D,0)))</f>
        <v>Mechanical engineers</v>
      </c>
      <c r="C978" t="s">
        <v>263</v>
      </c>
      <c r="D978" t="str">
        <f>INDEX('group info'!B:B,MATCH(sectorLookup!C978,'group info'!A:A,0))</f>
        <v>Green</v>
      </c>
      <c r="E978" t="s">
        <v>282</v>
      </c>
      <c r="F978">
        <v>2010</v>
      </c>
      <c r="G978" t="str">
        <f t="shared" si="15"/>
        <v>Green SOC2010</v>
      </c>
    </row>
    <row r="979" spans="1:7" x14ac:dyDescent="0.35">
      <c r="A979">
        <v>2121</v>
      </c>
      <c r="B979" t="str">
        <f>IF(F979=2020,INDEX(SOC2020_Structure!E:E,MATCH(sectorLookup!A979,SOC2020_Structure!D:D,0)),INDEX(SOC2010_Structure!E:E,MATCH(sectorLookup!A979,SOC2010_Structure!D:D,0)))</f>
        <v>Civil engineers</v>
      </c>
      <c r="C979" t="s">
        <v>263</v>
      </c>
      <c r="D979" t="str">
        <f>INDEX('group info'!B:B,MATCH(sectorLookup!C979,'group info'!A:A,0))</f>
        <v>Green</v>
      </c>
      <c r="E979" t="s">
        <v>282</v>
      </c>
      <c r="F979">
        <v>2010</v>
      </c>
      <c r="G979" t="str">
        <f t="shared" si="15"/>
        <v>Green SOC2010</v>
      </c>
    </row>
    <row r="980" spans="1:7" x14ac:dyDescent="0.35">
      <c r="A980">
        <v>2113</v>
      </c>
      <c r="B980" t="str">
        <f>IF(F980=2020,INDEX(SOC2020_Structure!E:E,MATCH(sectorLookup!A980,SOC2020_Structure!D:D,0)),INDEX(SOC2010_Structure!E:E,MATCH(sectorLookup!A980,SOC2010_Structure!D:D,0)))</f>
        <v>Physical scientists</v>
      </c>
      <c r="C980" t="s">
        <v>263</v>
      </c>
      <c r="D980" t="str">
        <f>INDEX('group info'!B:B,MATCH(sectorLookup!C980,'group info'!A:A,0))</f>
        <v>Green</v>
      </c>
      <c r="E980" t="s">
        <v>282</v>
      </c>
      <c r="F980">
        <v>2010</v>
      </c>
      <c r="G980" t="str">
        <f t="shared" si="15"/>
        <v>Green SOC2010</v>
      </c>
    </row>
    <row r="981" spans="1:7" x14ac:dyDescent="0.35">
      <c r="A981">
        <v>1255</v>
      </c>
      <c r="B981" t="str">
        <f>IF(F981=2020,INDEX(SOC2020_Structure!E:E,MATCH(sectorLookup!A981,SOC2020_Structure!D:D,0)),INDEX(SOC2010_Structure!E:E,MATCH(sectorLookup!A981,SOC2010_Structure!D:D,0)))</f>
        <v>Waste disposal and environmental services managers</v>
      </c>
      <c r="C981" t="s">
        <v>263</v>
      </c>
      <c r="D981" t="str">
        <f>INDEX('group info'!B:B,MATCH(sectorLookup!C981,'group info'!A:A,0))</f>
        <v>Green</v>
      </c>
      <c r="E981" t="s">
        <v>282</v>
      </c>
      <c r="F981">
        <v>2010</v>
      </c>
      <c r="G981" t="str">
        <f t="shared" si="15"/>
        <v>Green SOC2010</v>
      </c>
    </row>
    <row r="982" spans="1:7" x14ac:dyDescent="0.35">
      <c r="A982">
        <v>1251</v>
      </c>
      <c r="B982" t="str">
        <f>IF(F982=2020,INDEX(SOC2020_Structure!E:E,MATCH(sectorLookup!A982,SOC2020_Structure!D:D,0)),INDEX(SOC2010_Structure!E:E,MATCH(sectorLookup!A982,SOC2010_Structure!D:D,0)))</f>
        <v>Property, housing and estate managers</v>
      </c>
      <c r="C982" t="s">
        <v>263</v>
      </c>
      <c r="D982" t="str">
        <f>INDEX('group info'!B:B,MATCH(sectorLookup!C982,'group info'!A:A,0))</f>
        <v>Green</v>
      </c>
      <c r="E982" t="s">
        <v>282</v>
      </c>
      <c r="F982">
        <v>2010</v>
      </c>
      <c r="G982" t="str">
        <f t="shared" si="15"/>
        <v>Green SOC2010</v>
      </c>
    </row>
    <row r="983" spans="1:7" x14ac:dyDescent="0.35">
      <c r="A983">
        <v>1162</v>
      </c>
      <c r="B983" t="str">
        <f>IF(F983=2020,INDEX(SOC2020_Structure!E:E,MATCH(sectorLookup!A983,SOC2020_Structure!D:D,0)),INDEX(SOC2010_Structure!E:E,MATCH(sectorLookup!A983,SOC2010_Structure!D:D,0)))</f>
        <v>Managers and directors in storage and warehousing</v>
      </c>
      <c r="C983" t="s">
        <v>263</v>
      </c>
      <c r="D983" t="str">
        <f>INDEX('group info'!B:B,MATCH(sectorLookup!C983,'group info'!A:A,0))</f>
        <v>Green</v>
      </c>
      <c r="E983" t="s">
        <v>282</v>
      </c>
      <c r="F983">
        <v>2010</v>
      </c>
      <c r="G983" t="str">
        <f t="shared" si="15"/>
        <v>Green SOC2010</v>
      </c>
    </row>
    <row r="984" spans="1:7" x14ac:dyDescent="0.35">
      <c r="A984">
        <v>1134</v>
      </c>
      <c r="B984" t="str">
        <f>IF(F984=2020,INDEX(SOC2020_Structure!E:E,MATCH(sectorLookup!A984,SOC2020_Structure!D:D,0)),INDEX(SOC2010_Structure!E:E,MATCH(sectorLookup!A984,SOC2010_Structure!D:D,0)))</f>
        <v>Advertising and public relations directors</v>
      </c>
      <c r="C984" t="s">
        <v>263</v>
      </c>
      <c r="D984" t="str">
        <f>INDEX('group info'!B:B,MATCH(sectorLookup!C984,'group info'!A:A,0))</f>
        <v>Green</v>
      </c>
      <c r="E984" t="s">
        <v>282</v>
      </c>
      <c r="F984">
        <v>2010</v>
      </c>
      <c r="G984" t="str">
        <f t="shared" si="15"/>
        <v>Green SOC2010</v>
      </c>
    </row>
    <row r="985" spans="1:7" x14ac:dyDescent="0.35">
      <c r="A985">
        <v>1131</v>
      </c>
      <c r="B985" t="str">
        <f>IF(F985=2020,INDEX(SOC2020_Structure!E:E,MATCH(sectorLookup!A985,SOC2020_Structure!D:D,0)),INDEX(SOC2010_Structure!E:E,MATCH(sectorLookup!A985,SOC2010_Structure!D:D,0)))</f>
        <v>Financial managers and directors</v>
      </c>
      <c r="C985" t="s">
        <v>263</v>
      </c>
      <c r="D985" t="str">
        <f>INDEX('group info'!B:B,MATCH(sectorLookup!C985,'group info'!A:A,0))</f>
        <v>Green</v>
      </c>
      <c r="E985" t="s">
        <v>282</v>
      </c>
      <c r="F985">
        <v>2010</v>
      </c>
      <c r="G985" t="str">
        <f t="shared" si="15"/>
        <v>Green SOC2010</v>
      </c>
    </row>
    <row r="986" spans="1:7" x14ac:dyDescent="0.35">
      <c r="A986">
        <v>1123</v>
      </c>
      <c r="B986" t="str">
        <f>IF(F986=2020,INDEX(SOC2020_Structure!E:E,MATCH(sectorLookup!A986,SOC2020_Structure!D:D,0)),INDEX(SOC2010_Structure!E:E,MATCH(sectorLookup!A986,SOC2010_Structure!D:D,0)))</f>
        <v>Production managers and directors in mining and energy</v>
      </c>
      <c r="C986" t="s">
        <v>263</v>
      </c>
      <c r="D986" t="str">
        <f>INDEX('group info'!B:B,MATCH(sectorLookup!C986,'group info'!A:A,0))</f>
        <v>Green</v>
      </c>
      <c r="E986" t="s">
        <v>282</v>
      </c>
      <c r="F986">
        <v>2010</v>
      </c>
      <c r="G986" t="str">
        <f t="shared" si="15"/>
        <v>Green SOC2010</v>
      </c>
    </row>
    <row r="987" spans="1:7" x14ac:dyDescent="0.35">
      <c r="A987">
        <v>1121</v>
      </c>
      <c r="B987" t="str">
        <f>IF(F987=2020,INDEX(SOC2020_Structure!E:E,MATCH(sectorLookup!A987,SOC2020_Structure!D:D,0)),INDEX(SOC2010_Structure!E:E,MATCH(sectorLookup!A987,SOC2010_Structure!D:D,0)))</f>
        <v>Production managers and directors in manufacturing</v>
      </c>
      <c r="C987" t="s">
        <v>263</v>
      </c>
      <c r="D987" t="str">
        <f>INDEX('group info'!B:B,MATCH(sectorLookup!C987,'group info'!A:A,0))</f>
        <v>Green</v>
      </c>
      <c r="E987" t="s">
        <v>282</v>
      </c>
      <c r="F987">
        <v>2010</v>
      </c>
      <c r="G987" t="str">
        <f t="shared" si="15"/>
        <v>Green SOC2010</v>
      </c>
    </row>
    <row r="988" spans="1:7" x14ac:dyDescent="0.35">
      <c r="A988">
        <v>8142</v>
      </c>
      <c r="B988" t="str">
        <f>IF(F988=2020,INDEX(SOC2020_Structure!E:E,MATCH(sectorLookup!A988,SOC2020_Structure!D:D,0)),INDEX(SOC2010_Structure!E:E,MATCH(sectorLookup!A988,SOC2010_Structure!D:D,0)))</f>
        <v>Road construction operatives</v>
      </c>
      <c r="C988" t="s">
        <v>263</v>
      </c>
      <c r="D988" t="str">
        <f>INDEX('group info'!B:B,MATCH(sectorLookup!C988,'group info'!A:A,0))</f>
        <v>Green</v>
      </c>
      <c r="E988" t="s">
        <v>282</v>
      </c>
      <c r="F988">
        <v>2010</v>
      </c>
      <c r="G988" t="str">
        <f t="shared" si="15"/>
        <v>Green SOC2010</v>
      </c>
    </row>
    <row r="989" spans="1:7" x14ac:dyDescent="0.35">
      <c r="A989">
        <v>8133</v>
      </c>
      <c r="B989" t="str">
        <f>IF(F989=2020,INDEX(SOC2020_Structure!E:E,MATCH(sectorLookup!A989,SOC2020_Structure!D:D,0)),INDEX(SOC2010_Structure!E:E,MATCH(sectorLookup!A989,SOC2010_Structure!D:D,0)))</f>
        <v>Routine inspectors and testers</v>
      </c>
      <c r="C989" t="s">
        <v>263</v>
      </c>
      <c r="D989" t="str">
        <f>INDEX('group info'!B:B,MATCH(sectorLookup!C989,'group info'!A:A,0))</f>
        <v>Green</v>
      </c>
      <c r="E989" t="s">
        <v>282</v>
      </c>
      <c r="F989">
        <v>2010</v>
      </c>
      <c r="G989" t="str">
        <f t="shared" si="15"/>
        <v>Green SOC2010</v>
      </c>
    </row>
    <row r="990" spans="1:7" x14ac:dyDescent="0.35">
      <c r="A990">
        <v>7220</v>
      </c>
      <c r="B990" t="str">
        <f>IF(F990=2020,INDEX(SOC2020_Structure!E:E,MATCH(sectorLookup!A990,SOC2020_Structure!D:D,0)),INDEX(SOC2010_Structure!E:E,MATCH(sectorLookup!A990,SOC2010_Structure!D:D,0)))</f>
        <v>Customer service managers and supervisors</v>
      </c>
      <c r="C990" t="s">
        <v>263</v>
      </c>
      <c r="D990" t="str">
        <f>INDEX('group info'!B:B,MATCH(sectorLookup!C990,'group info'!A:A,0))</f>
        <v>Green</v>
      </c>
      <c r="E990" t="s">
        <v>282</v>
      </c>
      <c r="F990">
        <v>2010</v>
      </c>
      <c r="G990" t="str">
        <f t="shared" si="15"/>
        <v>Green SOC2010</v>
      </c>
    </row>
    <row r="991" spans="1:7" x14ac:dyDescent="0.35">
      <c r="A991">
        <v>5249</v>
      </c>
      <c r="B991" t="str">
        <f>IF(F991=2020,INDEX(SOC2020_Structure!E:E,MATCH(sectorLookup!A991,SOC2020_Structure!D:D,0)),INDEX(SOC2010_Structure!E:E,MATCH(sectorLookup!A991,SOC2010_Structure!D:D,0)))</f>
        <v>Electrical and electronic trades n.e.c.</v>
      </c>
      <c r="C991" t="s">
        <v>263</v>
      </c>
      <c r="D991" t="str">
        <f>INDEX('group info'!B:B,MATCH(sectorLookup!C991,'group info'!A:A,0))</f>
        <v>Green</v>
      </c>
      <c r="E991" t="s">
        <v>282</v>
      </c>
      <c r="F991">
        <v>2010</v>
      </c>
      <c r="G991" t="str">
        <f t="shared" si="15"/>
        <v>Green SOC2010</v>
      </c>
    </row>
    <row r="992" spans="1:7" x14ac:dyDescent="0.35">
      <c r="A992">
        <v>5241</v>
      </c>
      <c r="B992" t="str">
        <f>IF(F992=2020,INDEX(SOC2020_Structure!E:E,MATCH(sectorLookup!A992,SOC2020_Structure!D:D,0)),INDEX(SOC2010_Structure!E:E,MATCH(sectorLookup!A992,SOC2010_Structure!D:D,0)))</f>
        <v>Electricians and electrical fitters</v>
      </c>
      <c r="C992" t="s">
        <v>263</v>
      </c>
      <c r="D992" t="str">
        <f>INDEX('group info'!B:B,MATCH(sectorLookup!C992,'group info'!A:A,0))</f>
        <v>Green</v>
      </c>
      <c r="E992" t="s">
        <v>282</v>
      </c>
      <c r="F992">
        <v>2010</v>
      </c>
      <c r="G992" t="str">
        <f t="shared" si="15"/>
        <v>Green SOC2010</v>
      </c>
    </row>
    <row r="993" spans="1:7" x14ac:dyDescent="0.35">
      <c r="A993">
        <v>4133</v>
      </c>
      <c r="B993" t="str">
        <f>IF(F993=2020,INDEX(SOC2020_Structure!E:E,MATCH(sectorLookup!A993,SOC2020_Structure!D:D,0)),INDEX(SOC2010_Structure!E:E,MATCH(sectorLookup!A993,SOC2010_Structure!D:D,0)))</f>
        <v>Stock control clerks and assistants</v>
      </c>
      <c r="C993" t="s">
        <v>263</v>
      </c>
      <c r="D993" t="str">
        <f>INDEX('group info'!B:B,MATCH(sectorLookup!C993,'group info'!A:A,0))</f>
        <v>Green</v>
      </c>
      <c r="E993" t="s">
        <v>282</v>
      </c>
      <c r="F993">
        <v>2010</v>
      </c>
      <c r="G993" t="str">
        <f t="shared" si="15"/>
        <v>Green SOC2010</v>
      </c>
    </row>
    <row r="994" spans="1:7" x14ac:dyDescent="0.35">
      <c r="A994">
        <v>3115</v>
      </c>
      <c r="B994" t="str">
        <f>IF(F994=2020,INDEX(SOC2020_Structure!E:E,MATCH(sectorLookup!A994,SOC2020_Structure!D:D,0)),INDEX(SOC2010_Structure!E:E,MATCH(sectorLookup!A994,SOC2010_Structure!D:D,0)))</f>
        <v>Quality assurance technicians</v>
      </c>
      <c r="C994" t="s">
        <v>263</v>
      </c>
      <c r="D994" t="str">
        <f>INDEX('group info'!B:B,MATCH(sectorLookup!C994,'group info'!A:A,0))</f>
        <v>Green</v>
      </c>
      <c r="E994" t="s">
        <v>282</v>
      </c>
      <c r="F994">
        <v>2010</v>
      </c>
      <c r="G994" t="str">
        <f t="shared" si="15"/>
        <v>Green SOC2010</v>
      </c>
    </row>
    <row r="995" spans="1:7" x14ac:dyDescent="0.35">
      <c r="A995">
        <v>2461</v>
      </c>
      <c r="B995" t="str">
        <f>IF(F995=2020,INDEX(SOC2020_Structure!E:E,MATCH(sectorLookup!A995,SOC2020_Structure!D:D,0)),INDEX(SOC2010_Structure!E:E,MATCH(sectorLookup!A995,SOC2010_Structure!D:D,0)))</f>
        <v>Quality control and planning engineers</v>
      </c>
      <c r="C995" t="s">
        <v>263</v>
      </c>
      <c r="D995" t="str">
        <f>INDEX('group info'!B:B,MATCH(sectorLookup!C995,'group info'!A:A,0))</f>
        <v>Green</v>
      </c>
      <c r="E995" t="s">
        <v>282</v>
      </c>
      <c r="F995">
        <v>2010</v>
      </c>
      <c r="G995" t="str">
        <f t="shared" si="15"/>
        <v>Green SOC2010</v>
      </c>
    </row>
    <row r="996" spans="1:7" x14ac:dyDescent="0.35">
      <c r="A996">
        <v>2150</v>
      </c>
      <c r="B996" t="str">
        <f>IF(F996=2020,INDEX(SOC2020_Structure!E:E,MATCH(sectorLookup!A996,SOC2020_Structure!D:D,0)),INDEX(SOC2010_Structure!E:E,MATCH(sectorLookup!A996,SOC2010_Structure!D:D,0)))</f>
        <v>Research and development managers</v>
      </c>
      <c r="C996" t="s">
        <v>263</v>
      </c>
      <c r="D996" t="str">
        <f>INDEX('group info'!B:B,MATCH(sectorLookup!C996,'group info'!A:A,0))</f>
        <v>Green</v>
      </c>
      <c r="E996" t="s">
        <v>282</v>
      </c>
      <c r="F996">
        <v>2010</v>
      </c>
      <c r="G996" t="str">
        <f t="shared" si="15"/>
        <v>Green SOC2010</v>
      </c>
    </row>
    <row r="997" spans="1:7" x14ac:dyDescent="0.35">
      <c r="A997">
        <v>2124</v>
      </c>
      <c r="B997" t="str">
        <f>IF(F997=2020,INDEX(SOC2020_Structure!E:E,MATCH(sectorLookup!A997,SOC2020_Structure!D:D,0)),INDEX(SOC2010_Structure!E:E,MATCH(sectorLookup!A997,SOC2010_Structure!D:D,0)))</f>
        <v>Electronics engineers</v>
      </c>
      <c r="C997" t="s">
        <v>263</v>
      </c>
      <c r="D997" t="str">
        <f>INDEX('group info'!B:B,MATCH(sectorLookup!C997,'group info'!A:A,0))</f>
        <v>Green</v>
      </c>
      <c r="E997" t="s">
        <v>282</v>
      </c>
      <c r="F997">
        <v>2010</v>
      </c>
      <c r="G997" t="str">
        <f t="shared" si="15"/>
        <v>Green SOC2010</v>
      </c>
    </row>
    <row r="998" spans="1:7" x14ac:dyDescent="0.35">
      <c r="A998">
        <v>2119</v>
      </c>
      <c r="B998" t="str">
        <f>IF(F998=2020,INDEX(SOC2020_Structure!E:E,MATCH(sectorLookup!A998,SOC2020_Structure!D:D,0)),INDEX(SOC2010_Structure!E:E,MATCH(sectorLookup!A998,SOC2010_Structure!D:D,0)))</f>
        <v>Natural and social science professionals n.e.c.</v>
      </c>
      <c r="C998" t="s">
        <v>263</v>
      </c>
      <c r="D998" t="str">
        <f>INDEX('group info'!B:B,MATCH(sectorLookup!C998,'group info'!A:A,0))</f>
        <v>Green</v>
      </c>
      <c r="E998" t="s">
        <v>282</v>
      </c>
      <c r="F998">
        <v>2010</v>
      </c>
      <c r="G998" t="str">
        <f t="shared" si="15"/>
        <v>Green SOC2010</v>
      </c>
    </row>
    <row r="999" spans="1:7" x14ac:dyDescent="0.35">
      <c r="A999">
        <v>5449</v>
      </c>
      <c r="B999" t="str">
        <f>IF(F999=2020,INDEX(SOC2020_Structure!E:E,MATCH(sectorLookup!A999,SOC2020_Structure!D:D,0)),INDEX(SOC2010_Structure!E:E,MATCH(sectorLookup!A999,SOC2010_Structure!D:D,0)))</f>
        <v>Other skilled trades n.e.c.</v>
      </c>
      <c r="C999" t="s">
        <v>263</v>
      </c>
      <c r="D999" t="str">
        <f>INDEX('group info'!B:B,MATCH(sectorLookup!C999,'group info'!A:A,0))</f>
        <v>Green</v>
      </c>
      <c r="E999" t="s">
        <v>282</v>
      </c>
      <c r="F999">
        <v>2010</v>
      </c>
      <c r="G999" t="str">
        <f t="shared" si="15"/>
        <v>Green SOC2010</v>
      </c>
    </row>
    <row r="1000" spans="1:7" x14ac:dyDescent="0.35">
      <c r="A1000">
        <v>5323</v>
      </c>
      <c r="B1000" t="str">
        <f>IF(F1000=2020,INDEX(SOC2020_Structure!E:E,MATCH(sectorLookup!A1000,SOC2020_Structure!D:D,0)),INDEX(SOC2010_Structure!E:E,MATCH(sectorLookup!A1000,SOC2010_Structure!D:D,0)))</f>
        <v>Painters and decorators</v>
      </c>
      <c r="C1000" t="s">
        <v>263</v>
      </c>
      <c r="D1000" t="str">
        <f>INDEX('group info'!B:B,MATCH(sectorLookup!C1000,'group info'!A:A,0))</f>
        <v>Green</v>
      </c>
      <c r="E1000" t="s">
        <v>282</v>
      </c>
      <c r="F1000">
        <v>2010</v>
      </c>
      <c r="G1000" t="str">
        <f t="shared" si="15"/>
        <v>Green SOC2010</v>
      </c>
    </row>
    <row r="1001" spans="1:7" x14ac:dyDescent="0.35">
      <c r="A1001">
        <v>5322</v>
      </c>
      <c r="B1001" t="str">
        <f>IF(F1001=2020,INDEX(SOC2020_Structure!E:E,MATCH(sectorLookup!A1001,SOC2020_Structure!D:D,0)),INDEX(SOC2010_Structure!E:E,MATCH(sectorLookup!A1001,SOC2010_Structure!D:D,0)))</f>
        <v>Floorers and wall tilers</v>
      </c>
      <c r="C1001" t="s">
        <v>263</v>
      </c>
      <c r="D1001" t="str">
        <f>INDEX('group info'!B:B,MATCH(sectorLookup!C1001,'group info'!A:A,0))</f>
        <v>Green</v>
      </c>
      <c r="E1001" t="s">
        <v>282</v>
      </c>
      <c r="F1001">
        <v>2010</v>
      </c>
      <c r="G1001" t="str">
        <f t="shared" si="15"/>
        <v>Green SOC2010</v>
      </c>
    </row>
    <row r="1002" spans="1:7" x14ac:dyDescent="0.35">
      <c r="A1002">
        <v>5321</v>
      </c>
      <c r="B1002" t="str">
        <f>IF(F1002=2020,INDEX(SOC2020_Structure!E:E,MATCH(sectorLookup!A1002,SOC2020_Structure!D:D,0)),INDEX(SOC2010_Structure!E:E,MATCH(sectorLookup!A1002,SOC2010_Structure!D:D,0)))</f>
        <v>Plasterers</v>
      </c>
      <c r="C1002" t="s">
        <v>263</v>
      </c>
      <c r="D1002" t="str">
        <f>INDEX('group info'!B:B,MATCH(sectorLookup!C1002,'group info'!A:A,0))</f>
        <v>Green</v>
      </c>
      <c r="E1002" t="s">
        <v>282</v>
      </c>
      <c r="F1002">
        <v>2010</v>
      </c>
      <c r="G1002" t="str">
        <f t="shared" si="15"/>
        <v>Green SOC2010</v>
      </c>
    </row>
    <row r="1003" spans="1:7" x14ac:dyDescent="0.35">
      <c r="A1003">
        <v>5319</v>
      </c>
      <c r="B1003" t="str">
        <f>IF(F1003=2020,INDEX(SOC2020_Structure!E:E,MATCH(sectorLookup!A1003,SOC2020_Structure!D:D,0)),INDEX(SOC2010_Structure!E:E,MATCH(sectorLookup!A1003,SOC2010_Structure!D:D,0)))</f>
        <v>Construction and building trades n.e.c.</v>
      </c>
      <c r="C1003" t="s">
        <v>263</v>
      </c>
      <c r="D1003" t="str">
        <f>INDEX('group info'!B:B,MATCH(sectorLookup!C1003,'group info'!A:A,0))</f>
        <v>Green</v>
      </c>
      <c r="E1003" t="s">
        <v>282</v>
      </c>
      <c r="F1003">
        <v>2010</v>
      </c>
      <c r="G1003" t="str">
        <f t="shared" si="15"/>
        <v>Green SOC2010</v>
      </c>
    </row>
    <row r="1004" spans="1:7" x14ac:dyDescent="0.35">
      <c r="A1004">
        <v>5316</v>
      </c>
      <c r="B1004" t="str">
        <f>IF(F1004=2020,INDEX(SOC2020_Structure!E:E,MATCH(sectorLookup!A1004,SOC2020_Structure!D:D,0)),INDEX(SOC2010_Structure!E:E,MATCH(sectorLookup!A1004,SOC2010_Structure!D:D,0)))</f>
        <v>Glaziers, window fabricators and fitters</v>
      </c>
      <c r="C1004" t="s">
        <v>263</v>
      </c>
      <c r="D1004" t="str">
        <f>INDEX('group info'!B:B,MATCH(sectorLookup!C1004,'group info'!A:A,0))</f>
        <v>Green</v>
      </c>
      <c r="E1004" t="s">
        <v>282</v>
      </c>
      <c r="F1004">
        <v>2010</v>
      </c>
      <c r="G1004" t="str">
        <f t="shared" si="15"/>
        <v>Green SOC2010</v>
      </c>
    </row>
    <row r="1005" spans="1:7" x14ac:dyDescent="0.35">
      <c r="A1005">
        <v>5315</v>
      </c>
      <c r="B1005" t="str">
        <f>IF(F1005=2020,INDEX(SOC2020_Structure!E:E,MATCH(sectorLookup!A1005,SOC2020_Structure!D:D,0)),INDEX(SOC2010_Structure!E:E,MATCH(sectorLookup!A1005,SOC2010_Structure!D:D,0)))</f>
        <v>Carpenters and joiners</v>
      </c>
      <c r="C1005" t="s">
        <v>263</v>
      </c>
      <c r="D1005" t="str">
        <f>INDEX('group info'!B:B,MATCH(sectorLookup!C1005,'group info'!A:A,0))</f>
        <v>Green</v>
      </c>
      <c r="E1005" t="s">
        <v>282</v>
      </c>
      <c r="F1005">
        <v>2010</v>
      </c>
      <c r="G1005" t="str">
        <f t="shared" si="15"/>
        <v>Green SOC2010</v>
      </c>
    </row>
    <row r="1006" spans="1:7" x14ac:dyDescent="0.35">
      <c r="A1006">
        <v>5314</v>
      </c>
      <c r="B1006" t="str">
        <f>IF(F1006=2020,INDEX(SOC2020_Structure!E:E,MATCH(sectorLookup!A1006,SOC2020_Structure!D:D,0)),INDEX(SOC2010_Structure!E:E,MATCH(sectorLookup!A1006,SOC2010_Structure!D:D,0)))</f>
        <v>Plumbers and heating and ventilating engineers</v>
      </c>
      <c r="C1006" t="s">
        <v>263</v>
      </c>
      <c r="D1006" t="str">
        <f>INDEX('group info'!B:B,MATCH(sectorLookup!C1006,'group info'!A:A,0))</f>
        <v>Green</v>
      </c>
      <c r="E1006" t="s">
        <v>282</v>
      </c>
      <c r="F1006">
        <v>2010</v>
      </c>
      <c r="G1006" t="str">
        <f t="shared" si="15"/>
        <v>Green SOC2010</v>
      </c>
    </row>
    <row r="1007" spans="1:7" x14ac:dyDescent="0.35">
      <c r="A1007">
        <v>5313</v>
      </c>
      <c r="B1007" t="str">
        <f>IF(F1007=2020,INDEX(SOC2020_Structure!E:E,MATCH(sectorLookup!A1007,SOC2020_Structure!D:D,0)),INDEX(SOC2010_Structure!E:E,MATCH(sectorLookup!A1007,SOC2010_Structure!D:D,0)))</f>
        <v>Roofers, roof tilers and slaters</v>
      </c>
      <c r="C1007" t="s">
        <v>263</v>
      </c>
      <c r="D1007" t="str">
        <f>INDEX('group info'!B:B,MATCH(sectorLookup!C1007,'group info'!A:A,0))</f>
        <v>Green</v>
      </c>
      <c r="E1007" t="s">
        <v>282</v>
      </c>
      <c r="F1007">
        <v>2010</v>
      </c>
      <c r="G1007" t="str">
        <f t="shared" si="15"/>
        <v>Green SOC2010</v>
      </c>
    </row>
    <row r="1008" spans="1:7" x14ac:dyDescent="0.35">
      <c r="A1008">
        <v>5312</v>
      </c>
      <c r="B1008" t="str">
        <f>IF(F1008=2020,INDEX(SOC2020_Structure!E:E,MATCH(sectorLookup!A1008,SOC2020_Structure!D:D,0)),INDEX(SOC2010_Structure!E:E,MATCH(sectorLookup!A1008,SOC2010_Structure!D:D,0)))</f>
        <v>Bricklayers and masons</v>
      </c>
      <c r="C1008" t="s">
        <v>263</v>
      </c>
      <c r="D1008" t="str">
        <f>INDEX('group info'!B:B,MATCH(sectorLookup!C1008,'group info'!A:A,0))</f>
        <v>Green</v>
      </c>
      <c r="E1008" t="s">
        <v>282</v>
      </c>
      <c r="F1008">
        <v>2010</v>
      </c>
      <c r="G1008" t="str">
        <f t="shared" si="15"/>
        <v>Green SOC2010</v>
      </c>
    </row>
    <row r="1009" spans="1:7" x14ac:dyDescent="0.35">
      <c r="A1009">
        <v>5225</v>
      </c>
      <c r="B1009" t="str">
        <f>IF(F1009=2020,INDEX(SOC2020_Structure!E:E,MATCH(sectorLookup!A1009,SOC2020_Structure!D:D,0)),INDEX(SOC2010_Structure!E:E,MATCH(sectorLookup!A1009,SOC2010_Structure!D:D,0)))</f>
        <v>Air-conditioning and refrigeration engineers</v>
      </c>
      <c r="C1009" t="s">
        <v>263</v>
      </c>
      <c r="D1009" t="str">
        <f>INDEX('group info'!B:B,MATCH(sectorLookup!C1009,'group info'!A:A,0))</f>
        <v>Green</v>
      </c>
      <c r="E1009" t="s">
        <v>282</v>
      </c>
      <c r="F1009">
        <v>2010</v>
      </c>
      <c r="G1009" t="str">
        <f t="shared" si="15"/>
        <v>Green SOC2010</v>
      </c>
    </row>
    <row r="1010" spans="1:7" x14ac:dyDescent="0.35">
      <c r="A1010">
        <v>3114</v>
      </c>
      <c r="B1010" t="str">
        <f>IF(F1010=2020,INDEX(SOC2020_Structure!E:E,MATCH(sectorLookup!A1010,SOC2020_Structure!D:D,0)),INDEX(SOC2010_Structure!E:E,MATCH(sectorLookup!A1010,SOC2010_Structure!D:D,0)))</f>
        <v>Building and civil engineering technicians</v>
      </c>
      <c r="C1010" t="s">
        <v>263</v>
      </c>
      <c r="D1010" t="str">
        <f>INDEX('group info'!B:B,MATCH(sectorLookup!C1010,'group info'!A:A,0))</f>
        <v>Green</v>
      </c>
      <c r="E1010" t="s">
        <v>282</v>
      </c>
      <c r="F1010">
        <v>2010</v>
      </c>
      <c r="G1010" t="str">
        <f t="shared" si="15"/>
        <v>Green SOC2010</v>
      </c>
    </row>
    <row r="1011" spans="1:7" x14ac:dyDescent="0.35">
      <c r="A1011">
        <v>2434</v>
      </c>
      <c r="B1011" t="str">
        <f>IF(F1011=2020,INDEX(SOC2020_Structure!E:E,MATCH(sectorLookup!A1011,SOC2020_Structure!D:D,0)),INDEX(SOC2010_Structure!E:E,MATCH(sectorLookup!A1011,SOC2010_Structure!D:D,0)))</f>
        <v>Chartered surveyors</v>
      </c>
      <c r="C1011" t="s">
        <v>263</v>
      </c>
      <c r="D1011" t="str">
        <f>INDEX('group info'!B:B,MATCH(sectorLookup!C1011,'group info'!A:A,0))</f>
        <v>Green</v>
      </c>
      <c r="E1011" t="s">
        <v>282</v>
      </c>
      <c r="F1011">
        <v>2010</v>
      </c>
      <c r="G1011" t="str">
        <f t="shared" si="15"/>
        <v>Green SOC2010</v>
      </c>
    </row>
    <row r="1012" spans="1:7" x14ac:dyDescent="0.35">
      <c r="A1012">
        <v>2433</v>
      </c>
      <c r="B1012" t="str">
        <f>IF(F1012=2020,INDEX(SOC2020_Structure!E:E,MATCH(sectorLookup!A1012,SOC2020_Structure!D:D,0)),INDEX(SOC2010_Structure!E:E,MATCH(sectorLookup!A1012,SOC2010_Structure!D:D,0)))</f>
        <v>Quantity surveyors</v>
      </c>
      <c r="C1012" t="s">
        <v>263</v>
      </c>
      <c r="D1012" t="str">
        <f>INDEX('group info'!B:B,MATCH(sectorLookup!C1012,'group info'!A:A,0))</f>
        <v>Green</v>
      </c>
      <c r="E1012" t="s">
        <v>282</v>
      </c>
      <c r="F1012">
        <v>2010</v>
      </c>
      <c r="G1012" t="str">
        <f t="shared" si="15"/>
        <v>Green SOC2010</v>
      </c>
    </row>
    <row r="1013" spans="1:7" x14ac:dyDescent="0.35">
      <c r="A1013">
        <v>2431</v>
      </c>
      <c r="B1013" t="str">
        <f>IF(F1013=2020,INDEX(SOC2020_Structure!E:E,MATCH(sectorLookup!A1013,SOC2020_Structure!D:D,0)),INDEX(SOC2010_Structure!E:E,MATCH(sectorLookup!A1013,SOC2010_Structure!D:D,0)))</f>
        <v>Architects</v>
      </c>
      <c r="C1013" t="s">
        <v>263</v>
      </c>
      <c r="D1013" t="str">
        <f>INDEX('group info'!B:B,MATCH(sectorLookup!C1013,'group info'!A:A,0))</f>
        <v>Green</v>
      </c>
      <c r="E1013" t="s">
        <v>282</v>
      </c>
      <c r="F1013">
        <v>2010</v>
      </c>
      <c r="G1013" t="str">
        <f t="shared" si="15"/>
        <v>Green SOC2010</v>
      </c>
    </row>
    <row r="1014" spans="1:7" x14ac:dyDescent="0.35">
      <c r="A1014">
        <v>2141</v>
      </c>
      <c r="B1014" t="str">
        <f>IF(F1014=2020,INDEX(SOC2020_Structure!E:E,MATCH(sectorLookup!A1014,SOC2020_Structure!D:D,0)),INDEX(SOC2010_Structure!E:E,MATCH(sectorLookup!A1014,SOC2010_Structure!D:D,0)))</f>
        <v>Conservation professionals</v>
      </c>
      <c r="C1014" t="s">
        <v>263</v>
      </c>
      <c r="D1014" t="str">
        <f>INDEX('group info'!B:B,MATCH(sectorLookup!C1014,'group info'!A:A,0))</f>
        <v>Green</v>
      </c>
      <c r="E1014" t="s">
        <v>282</v>
      </c>
      <c r="F1014">
        <v>2010</v>
      </c>
      <c r="G1014" t="str">
        <f t="shared" si="15"/>
        <v>Green SOC2010</v>
      </c>
    </row>
    <row r="1015" spans="1:7" x14ac:dyDescent="0.35">
      <c r="A1015">
        <v>2136</v>
      </c>
      <c r="B1015" t="str">
        <f>IF(F1015=2020,INDEX(SOC2020_Structure!E:E,MATCH(sectorLookup!A1015,SOC2020_Structure!D:D,0)),INDEX(SOC2010_Structure!E:E,MATCH(sectorLookup!A1015,SOC2010_Structure!D:D,0)))</f>
        <v>Programmers and software development professionals</v>
      </c>
      <c r="C1015" t="s">
        <v>263</v>
      </c>
      <c r="D1015" t="str">
        <f>INDEX('group info'!B:B,MATCH(sectorLookup!C1015,'group info'!A:A,0))</f>
        <v>Green</v>
      </c>
      <c r="E1015" t="s">
        <v>282</v>
      </c>
      <c r="F1015">
        <v>2010</v>
      </c>
      <c r="G1015" t="str">
        <f t="shared" si="15"/>
        <v>Green SOC2010</v>
      </c>
    </row>
    <row r="1016" spans="1:7" x14ac:dyDescent="0.35">
      <c r="A1016">
        <v>8132</v>
      </c>
      <c r="B1016" t="str">
        <f>IF(F1016=2020,INDEX(SOC2020_Structure!E:E,MATCH(sectorLookup!A1016,SOC2020_Structure!D:D,0)),INDEX(SOC2010_Structure!E:E,MATCH(sectorLookup!A1016,SOC2010_Structure!D:D,0)))</f>
        <v>Assemblers (vehicles and metal goods)</v>
      </c>
      <c r="C1016" t="s">
        <v>263</v>
      </c>
      <c r="D1016" t="str">
        <f>INDEX('group info'!B:B,MATCH(sectorLookup!C1016,'group info'!A:A,0))</f>
        <v>Green</v>
      </c>
      <c r="E1016" t="s">
        <v>282</v>
      </c>
      <c r="F1016">
        <v>2010</v>
      </c>
      <c r="G1016" t="str">
        <f t="shared" si="15"/>
        <v>Green SOC2010</v>
      </c>
    </row>
    <row r="1017" spans="1:7" x14ac:dyDescent="0.35">
      <c r="A1017">
        <v>5232</v>
      </c>
      <c r="B1017" t="str">
        <f>IF(F1017=2020,INDEX(SOC2020_Structure!E:E,MATCH(sectorLookup!A1017,SOC2020_Structure!D:D,0)),INDEX(SOC2010_Structure!E:E,MATCH(sectorLookup!A1017,SOC2010_Structure!D:D,0)))</f>
        <v xml:space="preserve">Vehicle body builders and repairers </v>
      </c>
      <c r="C1017" t="s">
        <v>263</v>
      </c>
      <c r="D1017" t="str">
        <f>INDEX('group info'!B:B,MATCH(sectorLookup!C1017,'group info'!A:A,0))</f>
        <v>Green</v>
      </c>
      <c r="E1017" t="s">
        <v>282</v>
      </c>
      <c r="F1017">
        <v>2010</v>
      </c>
      <c r="G1017" t="str">
        <f t="shared" si="15"/>
        <v>Green SOC2010</v>
      </c>
    </row>
    <row r="1018" spans="1:7" x14ac:dyDescent="0.35">
      <c r="A1018">
        <v>5231</v>
      </c>
      <c r="B1018" t="str">
        <f>IF(F1018=2020,INDEX(SOC2020_Structure!E:E,MATCH(sectorLookup!A1018,SOC2020_Structure!D:D,0)),INDEX(SOC2010_Structure!E:E,MATCH(sectorLookup!A1018,SOC2010_Structure!D:D,0)))</f>
        <v>Vehicle technicians, mechanics and electricians</v>
      </c>
      <c r="C1018" t="s">
        <v>263</v>
      </c>
      <c r="D1018" t="str">
        <f>INDEX('group info'!B:B,MATCH(sectorLookup!C1018,'group info'!A:A,0))</f>
        <v>Green</v>
      </c>
      <c r="E1018" t="s">
        <v>282</v>
      </c>
      <c r="F1018">
        <v>2010</v>
      </c>
      <c r="G1018" t="str">
        <f t="shared" si="15"/>
        <v>Green SOC2010</v>
      </c>
    </row>
    <row r="1019" spans="1:7" x14ac:dyDescent="0.35">
      <c r="A1019">
        <v>5222</v>
      </c>
      <c r="B1019" t="str">
        <f>IF(F1019=2020,INDEX(SOC2020_Structure!E:E,MATCH(sectorLookup!A1019,SOC2020_Structure!D:D,0)),INDEX(SOC2010_Structure!E:E,MATCH(sectorLookup!A1019,SOC2010_Structure!D:D,0)))</f>
        <v>Tool makers, tool fitters and markers-out</v>
      </c>
      <c r="C1019" t="s">
        <v>263</v>
      </c>
      <c r="D1019" t="str">
        <f>INDEX('group info'!B:B,MATCH(sectorLookup!C1019,'group info'!A:A,0))</f>
        <v>Green</v>
      </c>
      <c r="E1019" t="s">
        <v>282</v>
      </c>
      <c r="F1019">
        <v>2010</v>
      </c>
      <c r="G1019" t="str">
        <f t="shared" si="15"/>
        <v>Green SOC2010</v>
      </c>
    </row>
    <row r="1020" spans="1:7" x14ac:dyDescent="0.35">
      <c r="A1020">
        <v>3116</v>
      </c>
      <c r="B1020" t="str">
        <f>IF(F1020=2020,INDEX(SOC2020_Structure!E:E,MATCH(sectorLookup!A1020,SOC2020_Structure!D:D,0)),INDEX(SOC2010_Structure!E:E,MATCH(sectorLookup!A1020,SOC2010_Structure!D:D,0)))</f>
        <v>Planning, process and production technicians</v>
      </c>
      <c r="C1020" t="s">
        <v>263</v>
      </c>
      <c r="D1020" t="str">
        <f>INDEX('group info'!B:B,MATCH(sectorLookup!C1020,'group info'!A:A,0))</f>
        <v>Green</v>
      </c>
      <c r="E1020" t="s">
        <v>282</v>
      </c>
      <c r="F1020">
        <v>2010</v>
      </c>
      <c r="G1020" t="str">
        <f t="shared" si="15"/>
        <v>Green SOC2010</v>
      </c>
    </row>
    <row r="1021" spans="1:7" x14ac:dyDescent="0.35">
      <c r="A1021">
        <v>2111</v>
      </c>
      <c r="B1021" t="str">
        <f>IF(F1021=2020,INDEX(SOC2020_Structure!E:E,MATCH(sectorLookup!A1021,SOC2020_Structure!D:D,0)),INDEX(SOC2010_Structure!E:E,MATCH(sectorLookup!A1021,SOC2010_Structure!D:D,0)))</f>
        <v>Chemical scientists</v>
      </c>
      <c r="C1021" t="s">
        <v>263</v>
      </c>
      <c r="D1021" t="str">
        <f>INDEX('group info'!B:B,MATCH(sectorLookup!C1021,'group info'!A:A,0))</f>
        <v>Green</v>
      </c>
      <c r="E1021" t="s">
        <v>282</v>
      </c>
      <c r="F1021">
        <v>2010</v>
      </c>
      <c r="G1021" t="str">
        <f t="shared" si="15"/>
        <v>Green SOC2010</v>
      </c>
    </row>
    <row r="1022" spans="1:7" x14ac:dyDescent="0.35">
      <c r="A1022">
        <v>1139</v>
      </c>
      <c r="B1022" t="str">
        <f>IF(F1022=2020,INDEX(SOC2020_Structure!E:E,MATCH(sectorLookup!A1022,SOC2020_Structure!D:D,0)),INDEX(SOC2010_Structure!E:E,MATCH(sectorLookup!A1022,SOC2010_Structure!D:D,0)))</f>
        <v>Functional managers and directors n.e.c.</v>
      </c>
      <c r="C1022" t="s">
        <v>263</v>
      </c>
      <c r="D1022" t="str">
        <f>INDEX('group info'!B:B,MATCH(sectorLookup!C1022,'group info'!A:A,0))</f>
        <v>Green</v>
      </c>
      <c r="E1022" t="s">
        <v>282</v>
      </c>
      <c r="F1022">
        <v>2010</v>
      </c>
      <c r="G1022" t="str">
        <f t="shared" si="15"/>
        <v>Green SOC2010</v>
      </c>
    </row>
    <row r="1023" spans="1:7" x14ac:dyDescent="0.35">
      <c r="A1023">
        <v>2139</v>
      </c>
      <c r="B1023" t="str">
        <f>IF(F1023=2020,INDEX(SOC2020_Structure!E:E,MATCH(sectorLookup!A1023,SOC2020_Structure!D:D,0)),INDEX(SOC2010_Structure!E:E,MATCH(sectorLookup!A1023,SOC2010_Structure!D:D,0)))</f>
        <v>Information technology and telecommunications professionals n.e.c.</v>
      </c>
      <c r="C1023" t="s">
        <v>263</v>
      </c>
      <c r="D1023" t="str">
        <f>INDEX('group info'!B:B,MATCH(sectorLookup!C1023,'group info'!A:A,0))</f>
        <v>Green</v>
      </c>
      <c r="E1023" t="s">
        <v>282</v>
      </c>
      <c r="F1023">
        <v>2010</v>
      </c>
      <c r="G1023" t="str">
        <f t="shared" si="15"/>
        <v>Green SOC2010</v>
      </c>
    </row>
    <row r="1024" spans="1:7" x14ac:dyDescent="0.35">
      <c r="A1024">
        <v>9112</v>
      </c>
      <c r="B1024" t="str">
        <f>IF(F1024=2020,INDEX(SOC2020_Structure!E:E,MATCH(sectorLookup!A1024,SOC2020_Structure!D:D,0)),INDEX(SOC2010_Structure!E:E,MATCH(sectorLookup!A1024,SOC2010_Structure!D:D,0)))</f>
        <v>Forestry workers</v>
      </c>
      <c r="C1024" t="s">
        <v>263</v>
      </c>
      <c r="D1024" t="str">
        <f>INDEX('group info'!B:B,MATCH(sectorLookup!C1024,'group info'!A:A,0))</f>
        <v>Green</v>
      </c>
      <c r="E1024" t="s">
        <v>282</v>
      </c>
      <c r="F1024">
        <v>2010</v>
      </c>
      <c r="G1024" t="str">
        <f t="shared" si="15"/>
        <v>Green SOC2010</v>
      </c>
    </row>
    <row r="1025" spans="1:7" x14ac:dyDescent="0.35">
      <c r="A1025">
        <v>5114</v>
      </c>
      <c r="B1025" t="str">
        <f>IF(F1025=2020,INDEX(SOC2020_Structure!E:E,MATCH(sectorLookup!A1025,SOC2020_Structure!D:D,0)),INDEX(SOC2010_Structure!E:E,MATCH(sectorLookup!A1025,SOC2010_Structure!D:D,0)))</f>
        <v>Groundsmen and greenkeepers</v>
      </c>
      <c r="C1025" t="s">
        <v>263</v>
      </c>
      <c r="D1025" t="str">
        <f>INDEX('group info'!B:B,MATCH(sectorLookup!C1025,'group info'!A:A,0))</f>
        <v>Green</v>
      </c>
      <c r="E1025" t="s">
        <v>282</v>
      </c>
      <c r="F1025">
        <v>2010</v>
      </c>
      <c r="G1025" t="str">
        <f t="shared" si="15"/>
        <v>Green SOC2010</v>
      </c>
    </row>
    <row r="1026" spans="1:7" x14ac:dyDescent="0.35">
      <c r="A1026">
        <v>5112</v>
      </c>
      <c r="B1026" t="str">
        <f>IF(F1026=2020,INDEX(SOC2020_Structure!E:E,MATCH(sectorLookup!A1026,SOC2020_Structure!D:D,0)),INDEX(SOC2010_Structure!E:E,MATCH(sectorLookup!A1026,SOC2010_Structure!D:D,0)))</f>
        <v>Horticultural trades</v>
      </c>
      <c r="C1026" t="s">
        <v>263</v>
      </c>
      <c r="D1026" t="str">
        <f>INDEX('group info'!B:B,MATCH(sectorLookup!C1026,'group info'!A:A,0))</f>
        <v>Green</v>
      </c>
      <c r="E1026" t="s">
        <v>282</v>
      </c>
      <c r="F1026">
        <v>2010</v>
      </c>
      <c r="G1026" t="str">
        <f t="shared" si="15"/>
        <v>Green SOC2010</v>
      </c>
    </row>
    <row r="1027" spans="1:7" x14ac:dyDescent="0.35">
      <c r="A1027">
        <v>5111</v>
      </c>
      <c r="B1027" t="str">
        <f>IF(F1027=2020,INDEX(SOC2020_Structure!E:E,MATCH(sectorLookup!A1027,SOC2020_Structure!D:D,0)),INDEX(SOC2010_Structure!E:E,MATCH(sectorLookup!A1027,SOC2010_Structure!D:D,0)))</f>
        <v>Farmers</v>
      </c>
      <c r="C1027" t="s">
        <v>263</v>
      </c>
      <c r="D1027" t="str">
        <f>INDEX('group info'!B:B,MATCH(sectorLookup!C1027,'group info'!A:A,0))</f>
        <v>Green</v>
      </c>
      <c r="E1027" t="s">
        <v>282</v>
      </c>
      <c r="F1027">
        <v>2010</v>
      </c>
      <c r="G1027" t="str">
        <f t="shared" ref="G1027:G1090" si="16">D1027&amp;" SOC"&amp;F1027</f>
        <v>Green SOC2010</v>
      </c>
    </row>
    <row r="1028" spans="1:7" x14ac:dyDescent="0.35">
      <c r="A1028">
        <v>3313</v>
      </c>
      <c r="B1028" t="str">
        <f>IF(F1028=2020,INDEX(SOC2020_Structure!E:E,MATCH(sectorLookup!A1028,SOC2020_Structure!D:D,0)),INDEX(SOC2010_Structure!E:E,MATCH(sectorLookup!A1028,SOC2010_Structure!D:D,0)))</f>
        <v>Fire service officers (watch manager and below)</v>
      </c>
      <c r="C1028" t="s">
        <v>263</v>
      </c>
      <c r="D1028" t="str">
        <f>INDEX('group info'!B:B,MATCH(sectorLookup!C1028,'group info'!A:A,0))</f>
        <v>Green</v>
      </c>
      <c r="E1028" t="s">
        <v>282</v>
      </c>
      <c r="F1028">
        <v>2010</v>
      </c>
      <c r="G1028" t="str">
        <f t="shared" si="16"/>
        <v>Green SOC2010</v>
      </c>
    </row>
    <row r="1029" spans="1:7" x14ac:dyDescent="0.35">
      <c r="A1029">
        <v>8239</v>
      </c>
      <c r="B1029" t="str">
        <f>IF(F1029=2020,INDEX(SOC2020_Structure!E:E,MATCH(sectorLookup!A1029,SOC2020_Structure!D:D,0)),INDEX(SOC2010_Structure!E:E,MATCH(sectorLookup!A1029,SOC2010_Structure!D:D,0)))</f>
        <v>Other drivers and transport operatives n.e.c.</v>
      </c>
      <c r="C1029" t="s">
        <v>263</v>
      </c>
      <c r="D1029" t="str">
        <f>INDEX('group info'!B:B,MATCH(sectorLookup!C1029,'group info'!A:A,0))</f>
        <v>Green</v>
      </c>
      <c r="E1029" t="s">
        <v>282</v>
      </c>
      <c r="F1029">
        <v>2010</v>
      </c>
      <c r="G1029" t="str">
        <f t="shared" si="16"/>
        <v>Green SOC2010</v>
      </c>
    </row>
    <row r="1030" spans="1:7" x14ac:dyDescent="0.35">
      <c r="A1030">
        <v>8232</v>
      </c>
      <c r="B1030" t="str">
        <f>IF(F1030=2020,INDEX(SOC2020_Structure!E:E,MATCH(sectorLookup!A1030,SOC2020_Structure!D:D,0)),INDEX(SOC2010_Structure!E:E,MATCH(sectorLookup!A1030,SOC2010_Structure!D:D,0)))</f>
        <v>Marine and waterways transport operatives</v>
      </c>
      <c r="C1030" t="s">
        <v>263</v>
      </c>
      <c r="D1030" t="str">
        <f>INDEX('group info'!B:B,MATCH(sectorLookup!C1030,'group info'!A:A,0))</f>
        <v>Green</v>
      </c>
      <c r="E1030" t="s">
        <v>282</v>
      </c>
      <c r="F1030">
        <v>2010</v>
      </c>
      <c r="G1030" t="str">
        <f t="shared" si="16"/>
        <v>Green SOC2010</v>
      </c>
    </row>
    <row r="1031" spans="1:7" x14ac:dyDescent="0.35">
      <c r="A1031">
        <v>8117</v>
      </c>
      <c r="B1031" t="str">
        <f>IF(F1031=2020,INDEX(SOC2020_Structure!E:E,MATCH(sectorLookup!A1031,SOC2020_Structure!D:D,0)),INDEX(SOC2010_Structure!E:E,MATCH(sectorLookup!A1031,SOC2010_Structure!D:D,0)))</f>
        <v>Metal making and treating process operatives</v>
      </c>
      <c r="C1031" t="s">
        <v>263</v>
      </c>
      <c r="D1031" t="str">
        <f>INDEX('group info'!B:B,MATCH(sectorLookup!C1031,'group info'!A:A,0))</f>
        <v>Green</v>
      </c>
      <c r="E1031" t="s">
        <v>282</v>
      </c>
      <c r="F1031">
        <v>2010</v>
      </c>
      <c r="G1031" t="str">
        <f t="shared" si="16"/>
        <v>Green SOC2010</v>
      </c>
    </row>
    <row r="1032" spans="1:7" x14ac:dyDescent="0.35">
      <c r="A1032">
        <v>5236</v>
      </c>
      <c r="B1032" t="str">
        <f>IF(F1032=2020,INDEX(SOC2020_Structure!E:E,MATCH(sectorLookup!A1032,SOC2020_Structure!D:D,0)),INDEX(SOC2010_Structure!E:E,MATCH(sectorLookup!A1032,SOC2010_Structure!D:D,0)))</f>
        <v>Boat and ship builders and repairers</v>
      </c>
      <c r="C1032" t="s">
        <v>263</v>
      </c>
      <c r="D1032" t="str">
        <f>INDEX('group info'!B:B,MATCH(sectorLookup!C1032,'group info'!A:A,0))</f>
        <v>Green</v>
      </c>
      <c r="E1032" t="s">
        <v>282</v>
      </c>
      <c r="F1032">
        <v>2010</v>
      </c>
      <c r="G1032" t="str">
        <f t="shared" si="16"/>
        <v>Green SOC2010</v>
      </c>
    </row>
    <row r="1033" spans="1:7" x14ac:dyDescent="0.35">
      <c r="A1033">
        <v>4134</v>
      </c>
      <c r="B1033" t="str">
        <f>IF(F1033=2020,INDEX(SOC2020_Structure!E:E,MATCH(sectorLookup!A1033,SOC2020_Structure!D:D,0)),INDEX(SOC2010_Structure!E:E,MATCH(sectorLookup!A1033,SOC2010_Structure!D:D,0)))</f>
        <v>Transport and distribution clerks and assistants</v>
      </c>
      <c r="C1033" t="s">
        <v>263</v>
      </c>
      <c r="D1033" t="str">
        <f>INDEX('group info'!B:B,MATCH(sectorLookup!C1033,'group info'!A:A,0))</f>
        <v>Green</v>
      </c>
      <c r="E1033" t="s">
        <v>282</v>
      </c>
      <c r="F1033">
        <v>2010</v>
      </c>
      <c r="G1033" t="str">
        <f t="shared" si="16"/>
        <v>Green SOC2010</v>
      </c>
    </row>
    <row r="1034" spans="1:7" x14ac:dyDescent="0.35">
      <c r="A1034">
        <v>3536</v>
      </c>
      <c r="B1034" t="str">
        <f>IF(F1034=2020,INDEX(SOC2020_Structure!E:E,MATCH(sectorLookup!A1034,SOC2020_Structure!D:D,0)),INDEX(SOC2010_Structure!E:E,MATCH(sectorLookup!A1034,SOC2010_Structure!D:D,0)))</f>
        <v>Importers and exporters</v>
      </c>
      <c r="C1034" t="s">
        <v>263</v>
      </c>
      <c r="D1034" t="str">
        <f>INDEX('group info'!B:B,MATCH(sectorLookup!C1034,'group info'!A:A,0))</f>
        <v>Green</v>
      </c>
      <c r="E1034" t="s">
        <v>282</v>
      </c>
      <c r="F1034">
        <v>2010</v>
      </c>
      <c r="G1034" t="str">
        <f t="shared" si="16"/>
        <v>Green SOC2010</v>
      </c>
    </row>
    <row r="1035" spans="1:7" x14ac:dyDescent="0.35">
      <c r="A1035">
        <v>3532</v>
      </c>
      <c r="B1035" t="str">
        <f>IF(F1035=2020,INDEX(SOC2020_Structure!E:E,MATCH(sectorLookup!A1035,SOC2020_Structure!D:D,0)),INDEX(SOC2010_Structure!E:E,MATCH(sectorLookup!A1035,SOC2010_Structure!D:D,0)))</f>
        <v>Brokers</v>
      </c>
      <c r="C1035" t="s">
        <v>263</v>
      </c>
      <c r="D1035" t="str">
        <f>INDEX('group info'!B:B,MATCH(sectorLookup!C1035,'group info'!A:A,0))</f>
        <v>Green</v>
      </c>
      <c r="E1035" t="s">
        <v>282</v>
      </c>
      <c r="F1035">
        <v>2010</v>
      </c>
      <c r="G1035" t="str">
        <f t="shared" si="16"/>
        <v>Green SOC2010</v>
      </c>
    </row>
    <row r="1036" spans="1:7" x14ac:dyDescent="0.35">
      <c r="A1036">
        <v>3513</v>
      </c>
      <c r="B1036" t="str">
        <f>IF(F1036=2020,INDEX(SOC2020_Structure!E:E,MATCH(sectorLookup!A1036,SOC2020_Structure!D:D,0)),INDEX(SOC2010_Structure!E:E,MATCH(sectorLookup!A1036,SOC2010_Structure!D:D,0)))</f>
        <v>Ship and hovercraft officers</v>
      </c>
      <c r="C1036" t="s">
        <v>263</v>
      </c>
      <c r="D1036" t="str">
        <f>INDEX('group info'!B:B,MATCH(sectorLookup!C1036,'group info'!A:A,0))</f>
        <v>Green</v>
      </c>
      <c r="E1036" t="s">
        <v>282</v>
      </c>
      <c r="F1036">
        <v>2010</v>
      </c>
      <c r="G1036" t="str">
        <f t="shared" si="16"/>
        <v>Green SOC2010</v>
      </c>
    </row>
    <row r="1037" spans="1:7" x14ac:dyDescent="0.35">
      <c r="A1037">
        <v>3319</v>
      </c>
      <c r="B1037" t="str">
        <f>IF(F1037=2020,INDEX(SOC2020_Structure!E:E,MATCH(sectorLookup!A1037,SOC2020_Structure!D:D,0)),INDEX(SOC2010_Structure!E:E,MATCH(sectorLookup!A1037,SOC2010_Structure!D:D,0)))</f>
        <v>Protective service associate professionals n.e.c.</v>
      </c>
      <c r="C1037" t="s">
        <v>263</v>
      </c>
      <c r="D1037" t="str">
        <f>INDEX('group info'!B:B,MATCH(sectorLookup!C1037,'group info'!A:A,0))</f>
        <v>Green</v>
      </c>
      <c r="E1037" t="s">
        <v>282</v>
      </c>
      <c r="F1037">
        <v>2010</v>
      </c>
      <c r="G1037" t="str">
        <f t="shared" si="16"/>
        <v>Green SOC2010</v>
      </c>
    </row>
    <row r="1038" spans="1:7" x14ac:dyDescent="0.35">
      <c r="A1038">
        <v>1161</v>
      </c>
      <c r="B1038" t="str">
        <f>IF(F1038=2020,INDEX(SOC2020_Structure!E:E,MATCH(sectorLookup!A1038,SOC2020_Structure!D:D,0)),INDEX(SOC2010_Structure!E:E,MATCH(sectorLookup!A1038,SOC2010_Structure!D:D,0)))</f>
        <v>Managers and directors in transport and distribution</v>
      </c>
      <c r="C1038" t="s">
        <v>263</v>
      </c>
      <c r="D1038" t="str">
        <f>INDEX('group info'!B:B,MATCH(sectorLookup!C1038,'group info'!A:A,0))</f>
        <v>Green</v>
      </c>
      <c r="E1038" t="s">
        <v>282</v>
      </c>
      <c r="F1038">
        <v>2010</v>
      </c>
      <c r="G1038" t="str">
        <f t="shared" si="16"/>
        <v>Green SOC2010</v>
      </c>
    </row>
    <row r="1039" spans="1:7" x14ac:dyDescent="0.35">
      <c r="A1039">
        <v>5216</v>
      </c>
      <c r="B1039" t="str">
        <f>IF(F1039=2020,INDEX(SOC2020_Structure!E:E,MATCH(sectorLookup!A1039,SOC2020_Structure!D:D,0)),INDEX(SOC2010_Structure!E:E,MATCH(sectorLookup!A1039,SOC2010_Structure!D:D,0)))</f>
        <v>Pipe fitters</v>
      </c>
      <c r="C1039" t="s">
        <v>263</v>
      </c>
      <c r="D1039" t="str">
        <f>INDEX('group info'!B:B,MATCH(sectorLookup!C1039,'group info'!A:A,0))</f>
        <v>Green</v>
      </c>
      <c r="E1039" t="s">
        <v>282</v>
      </c>
      <c r="F1039">
        <v>2010</v>
      </c>
      <c r="G1039" t="str">
        <f t="shared" si="16"/>
        <v>Green SOC2010</v>
      </c>
    </row>
    <row r="1040" spans="1:7" x14ac:dyDescent="0.35">
      <c r="A1040">
        <v>2463</v>
      </c>
      <c r="B1040" t="str">
        <f>IF(F1040=2020,INDEX(SOC2020_Structure!E:E,MATCH(sectorLookup!A1040,SOC2020_Structure!D:D,0)),INDEX(SOC2010_Structure!E:E,MATCH(sectorLookup!A1040,SOC2010_Structure!D:D,0)))</f>
        <v>Environmental health professionals</v>
      </c>
      <c r="C1040" t="s">
        <v>263</v>
      </c>
      <c r="D1040" t="str">
        <f>INDEX('group info'!B:B,MATCH(sectorLookup!C1040,'group info'!A:A,0))</f>
        <v>Green</v>
      </c>
      <c r="E1040" t="s">
        <v>282</v>
      </c>
      <c r="F1040">
        <v>2010</v>
      </c>
      <c r="G1040" t="str">
        <f t="shared" si="16"/>
        <v>Green SOC2010</v>
      </c>
    </row>
    <row r="1041" spans="1:7" x14ac:dyDescent="0.35">
      <c r="A1041">
        <v>8233</v>
      </c>
      <c r="B1041" t="str">
        <f>IF(F1041=2020,INDEX(SOC2020_Structure!E:E,MATCH(sectorLookup!A1041,SOC2020_Structure!D:D,0)),INDEX(SOC2010_Structure!E:E,MATCH(sectorLookup!A1041,SOC2010_Structure!D:D,0)))</f>
        <v>Air transport operatives</v>
      </c>
      <c r="C1041" t="s">
        <v>263</v>
      </c>
      <c r="D1041" t="str">
        <f>INDEX('group info'!B:B,MATCH(sectorLookup!C1041,'group info'!A:A,0))</f>
        <v>Green</v>
      </c>
      <c r="E1041" t="s">
        <v>282</v>
      </c>
      <c r="F1041">
        <v>2010</v>
      </c>
      <c r="G1041" t="str">
        <f t="shared" si="16"/>
        <v>Green SOC2010</v>
      </c>
    </row>
    <row r="1042" spans="1:7" x14ac:dyDescent="0.35">
      <c r="A1042">
        <v>8125</v>
      </c>
      <c r="B1042" t="str">
        <f>IF(F1042=2020,INDEX(SOC2020_Structure!E:E,MATCH(sectorLookup!A1042,SOC2020_Structure!D:D,0)),INDEX(SOC2010_Structure!E:E,MATCH(sectorLookup!A1042,SOC2010_Structure!D:D,0)))</f>
        <v>Metal working machine operatives</v>
      </c>
      <c r="C1042" t="s">
        <v>263</v>
      </c>
      <c r="D1042" t="str">
        <f>INDEX('group info'!B:B,MATCH(sectorLookup!C1042,'group info'!A:A,0))</f>
        <v>Green</v>
      </c>
      <c r="E1042" t="s">
        <v>282</v>
      </c>
      <c r="F1042">
        <v>2010</v>
      </c>
      <c r="G1042" t="str">
        <f t="shared" si="16"/>
        <v>Green SOC2010</v>
      </c>
    </row>
    <row r="1043" spans="1:7" x14ac:dyDescent="0.35">
      <c r="A1043">
        <v>6240</v>
      </c>
      <c r="B1043" t="str">
        <f>IF(F1043=2020,INDEX(SOC2020_Structure!E:E,MATCH(sectorLookup!A1043,SOC2020_Structure!D:D,0)),INDEX(SOC2010_Structure!E:E,MATCH(sectorLookup!A1043,SOC2010_Structure!D:D,0)))</f>
        <v>Cleaning and housekeeping managers and supervisors</v>
      </c>
      <c r="C1043" t="s">
        <v>263</v>
      </c>
      <c r="D1043" t="str">
        <f>INDEX('group info'!B:B,MATCH(sectorLookup!C1043,'group info'!A:A,0))</f>
        <v>Green</v>
      </c>
      <c r="E1043" t="s">
        <v>282</v>
      </c>
      <c r="F1043">
        <v>2010</v>
      </c>
      <c r="G1043" t="str">
        <f t="shared" si="16"/>
        <v>Green SOC2010</v>
      </c>
    </row>
    <row r="1044" spans="1:7" x14ac:dyDescent="0.35">
      <c r="A1044">
        <v>6214</v>
      </c>
      <c r="B1044" t="str">
        <f>IF(F1044=2020,INDEX(SOC2020_Structure!E:E,MATCH(sectorLookup!A1044,SOC2020_Structure!D:D,0)),INDEX(SOC2010_Structure!E:E,MATCH(sectorLookup!A1044,SOC2010_Structure!D:D,0)))</f>
        <v>Air travel assistants</v>
      </c>
      <c r="C1044" t="s">
        <v>263</v>
      </c>
      <c r="D1044" t="str">
        <f>INDEX('group info'!B:B,MATCH(sectorLookup!C1044,'group info'!A:A,0))</f>
        <v>Green</v>
      </c>
      <c r="E1044" t="s">
        <v>282</v>
      </c>
      <c r="F1044">
        <v>2010</v>
      </c>
      <c r="G1044" t="str">
        <f t="shared" si="16"/>
        <v>Green SOC2010</v>
      </c>
    </row>
    <row r="1045" spans="1:7" x14ac:dyDescent="0.35">
      <c r="A1045">
        <v>5250</v>
      </c>
      <c r="B1045" t="str">
        <f>IF(F1045=2020,INDEX(SOC2020_Structure!E:E,MATCH(sectorLookup!A1045,SOC2020_Structure!D:D,0)),INDEX(SOC2010_Structure!E:E,MATCH(sectorLookup!A1045,SOC2010_Structure!D:D,0)))</f>
        <v>Skilled metal, electrical and electronic trades supervisors</v>
      </c>
      <c r="C1045" t="s">
        <v>263</v>
      </c>
      <c r="D1045" t="str">
        <f>INDEX('group info'!B:B,MATCH(sectorLookup!C1045,'group info'!A:A,0))</f>
        <v>Green</v>
      </c>
      <c r="E1045" t="s">
        <v>282</v>
      </c>
      <c r="F1045">
        <v>2010</v>
      </c>
      <c r="G1045" t="str">
        <f t="shared" si="16"/>
        <v>Green SOC2010</v>
      </c>
    </row>
    <row r="1046" spans="1:7" x14ac:dyDescent="0.35">
      <c r="A1046">
        <v>5242</v>
      </c>
      <c r="B1046" t="str">
        <f>IF(F1046=2020,INDEX(SOC2020_Structure!E:E,MATCH(sectorLookup!A1046,SOC2020_Structure!D:D,0)),INDEX(SOC2010_Structure!E:E,MATCH(sectorLookup!A1046,SOC2010_Structure!D:D,0)))</f>
        <v>Telecommunications engineers</v>
      </c>
      <c r="C1046" t="s">
        <v>263</v>
      </c>
      <c r="D1046" t="str">
        <f>INDEX('group info'!B:B,MATCH(sectorLookup!C1046,'group info'!A:A,0))</f>
        <v>Green</v>
      </c>
      <c r="E1046" t="s">
        <v>282</v>
      </c>
      <c r="F1046">
        <v>2010</v>
      </c>
      <c r="G1046" t="str">
        <f t="shared" si="16"/>
        <v>Green SOC2010</v>
      </c>
    </row>
    <row r="1047" spans="1:7" x14ac:dyDescent="0.35">
      <c r="A1047">
        <v>4159</v>
      </c>
      <c r="B1047" t="str">
        <f>IF(F1047=2020,INDEX(SOC2020_Structure!E:E,MATCH(sectorLookup!A1047,SOC2020_Structure!D:D,0)),INDEX(SOC2010_Structure!E:E,MATCH(sectorLookup!A1047,SOC2010_Structure!D:D,0)))</f>
        <v>Other administrative occupations n.e.c.</v>
      </c>
      <c r="C1047" t="s">
        <v>263</v>
      </c>
      <c r="D1047" t="str">
        <f>INDEX('group info'!B:B,MATCH(sectorLookup!C1047,'group info'!A:A,0))</f>
        <v>Green</v>
      </c>
      <c r="E1047" t="s">
        <v>282</v>
      </c>
      <c r="F1047">
        <v>2010</v>
      </c>
      <c r="G1047" t="str">
        <f t="shared" si="16"/>
        <v>Green SOC2010</v>
      </c>
    </row>
    <row r="1048" spans="1:7" x14ac:dyDescent="0.35">
      <c r="A1048">
        <v>3421</v>
      </c>
      <c r="B1048" t="str">
        <f>IF(F1048=2020,INDEX(SOC2020_Structure!E:E,MATCH(sectorLookup!A1048,SOC2020_Structure!D:D,0)),INDEX(SOC2010_Structure!E:E,MATCH(sectorLookup!A1048,SOC2010_Structure!D:D,0)))</f>
        <v>Graphic designers</v>
      </c>
      <c r="C1048" t="s">
        <v>263</v>
      </c>
      <c r="D1048" t="str">
        <f>INDEX('group info'!B:B,MATCH(sectorLookup!C1048,'group info'!A:A,0))</f>
        <v>Green</v>
      </c>
      <c r="E1048" t="s">
        <v>282</v>
      </c>
      <c r="F1048">
        <v>2010</v>
      </c>
      <c r="G1048" t="str">
        <f t="shared" si="16"/>
        <v>Green SOC2010</v>
      </c>
    </row>
    <row r="1049" spans="1:7" x14ac:dyDescent="0.35">
      <c r="A1049">
        <v>3131</v>
      </c>
      <c r="B1049" t="str">
        <f>IF(F1049=2020,INDEX(SOC2020_Structure!E:E,MATCH(sectorLookup!A1049,SOC2020_Structure!D:D,0)),INDEX(SOC2010_Structure!E:E,MATCH(sectorLookup!A1049,SOC2010_Structure!D:D,0)))</f>
        <v>IT operations technicians</v>
      </c>
      <c r="C1049" t="s">
        <v>263</v>
      </c>
      <c r="D1049" t="str">
        <f>INDEX('group info'!B:B,MATCH(sectorLookup!C1049,'group info'!A:A,0))</f>
        <v>Green</v>
      </c>
      <c r="E1049" t="s">
        <v>282</v>
      </c>
      <c r="F1049">
        <v>2010</v>
      </c>
      <c r="G1049" t="str">
        <f t="shared" si="16"/>
        <v>Green SOC2010</v>
      </c>
    </row>
    <row r="1050" spans="1:7" x14ac:dyDescent="0.35">
      <c r="A1050">
        <v>2112</v>
      </c>
      <c r="B1050" t="str">
        <f>IF(F1050=2020,INDEX(SOC2020_Structure!E:E,MATCH(sectorLookup!A1050,SOC2020_Structure!D:D,0)),INDEX(SOC2010_Structure!E:E,MATCH(sectorLookup!A1050,SOC2010_Structure!D:D,0)))</f>
        <v>Biological scientists and biochemists</v>
      </c>
      <c r="C1050" t="s">
        <v>263</v>
      </c>
      <c r="D1050" t="str">
        <f>INDEX('group info'!B:B,MATCH(sectorLookup!C1050,'group info'!A:A,0))</f>
        <v>Green</v>
      </c>
      <c r="E1050" t="s">
        <v>282</v>
      </c>
      <c r="F1050">
        <v>2010</v>
      </c>
      <c r="G1050" t="str">
        <f t="shared" si="16"/>
        <v>Green SOC2010</v>
      </c>
    </row>
    <row r="1051" spans="1:7" x14ac:dyDescent="0.35">
      <c r="A1051">
        <v>1122</v>
      </c>
      <c r="B1051" t="str">
        <f>IF(F1051=2020,INDEX(SOC2020_Structure!E:E,MATCH(sectorLookup!A1051,SOC2020_Structure!D:D,0)),INDEX(SOC2010_Structure!E:E,MATCH(sectorLookup!A1051,SOC2010_Structure!D:D,0)))</f>
        <v>Production managers and directors in construction</v>
      </c>
      <c r="C1051" t="s">
        <v>263</v>
      </c>
      <c r="D1051" t="str">
        <f>INDEX('group info'!B:B,MATCH(sectorLookup!C1051,'group info'!A:A,0))</f>
        <v>Green</v>
      </c>
      <c r="E1051" t="s">
        <v>282</v>
      </c>
      <c r="F1051">
        <v>2010</v>
      </c>
      <c r="G1051" t="str">
        <f t="shared" si="16"/>
        <v>Green SOC2010</v>
      </c>
    </row>
    <row r="1052" spans="1:7" x14ac:dyDescent="0.35">
      <c r="A1052">
        <v>8234</v>
      </c>
      <c r="B1052" t="str">
        <f>IF(F1052=2020,INDEX(SOC2020_Structure!E:E,MATCH(sectorLookup!A1052,SOC2020_Structure!D:D,0)),INDEX(SOC2010_Structure!E:E,MATCH(sectorLookup!A1052,SOC2010_Structure!D:D,0)))</f>
        <v>Rail transport operatives</v>
      </c>
      <c r="C1052" t="s">
        <v>263</v>
      </c>
      <c r="D1052" t="str">
        <f>INDEX('group info'!B:B,MATCH(sectorLookup!C1052,'group info'!A:A,0))</f>
        <v>Green</v>
      </c>
      <c r="E1052" t="s">
        <v>282</v>
      </c>
      <c r="F1052">
        <v>2010</v>
      </c>
      <c r="G1052" t="str">
        <f t="shared" si="16"/>
        <v>Green SOC2010</v>
      </c>
    </row>
    <row r="1053" spans="1:7" x14ac:dyDescent="0.35">
      <c r="A1053">
        <v>8231</v>
      </c>
      <c r="B1053" t="str">
        <f>IF(F1053=2020,INDEX(SOC2020_Structure!E:E,MATCH(sectorLookup!A1053,SOC2020_Structure!D:D,0)),INDEX(SOC2010_Structure!E:E,MATCH(sectorLookup!A1053,SOC2010_Structure!D:D,0)))</f>
        <v>Train and tram drivers</v>
      </c>
      <c r="C1053" t="s">
        <v>263</v>
      </c>
      <c r="D1053" t="str">
        <f>INDEX('group info'!B:B,MATCH(sectorLookup!C1053,'group info'!A:A,0))</f>
        <v>Green</v>
      </c>
      <c r="E1053" t="s">
        <v>282</v>
      </c>
      <c r="F1053">
        <v>2010</v>
      </c>
      <c r="G1053" t="str">
        <f t="shared" si="16"/>
        <v>Green SOC2010</v>
      </c>
    </row>
    <row r="1054" spans="1:7" x14ac:dyDescent="0.35">
      <c r="A1054">
        <v>8213</v>
      </c>
      <c r="B1054" t="str">
        <f>IF(F1054=2020,INDEX(SOC2020_Structure!E:E,MATCH(sectorLookup!A1054,SOC2020_Structure!D:D,0)),INDEX(SOC2010_Structure!E:E,MATCH(sectorLookup!A1054,SOC2010_Structure!D:D,0)))</f>
        <v>Bus and coach drivers</v>
      </c>
      <c r="C1054" t="s">
        <v>263</v>
      </c>
      <c r="D1054" t="str">
        <f>INDEX('group info'!B:B,MATCH(sectorLookup!C1054,'group info'!A:A,0))</f>
        <v>Green</v>
      </c>
      <c r="E1054" t="s">
        <v>282</v>
      </c>
      <c r="F1054">
        <v>2010</v>
      </c>
      <c r="G1054" t="str">
        <f t="shared" si="16"/>
        <v>Green SOC2010</v>
      </c>
    </row>
    <row r="1055" spans="1:7" x14ac:dyDescent="0.35">
      <c r="A1055">
        <v>8143</v>
      </c>
      <c r="B1055" t="str">
        <f>IF(F1055=2020,INDEX(SOC2020_Structure!E:E,MATCH(sectorLookup!A1055,SOC2020_Structure!D:D,0)),INDEX(SOC2010_Structure!E:E,MATCH(sectorLookup!A1055,SOC2010_Structure!D:D,0)))</f>
        <v>Rail construction and maintenance operatives</v>
      </c>
      <c r="C1055" t="s">
        <v>263</v>
      </c>
      <c r="D1055" t="str">
        <f>INDEX('group info'!B:B,MATCH(sectorLookup!C1055,'group info'!A:A,0))</f>
        <v>Green</v>
      </c>
      <c r="E1055" t="s">
        <v>282</v>
      </c>
      <c r="F1055">
        <v>2010</v>
      </c>
      <c r="G1055" t="str">
        <f t="shared" si="16"/>
        <v>Green SOC2010</v>
      </c>
    </row>
    <row r="1056" spans="1:7" x14ac:dyDescent="0.35">
      <c r="A1056">
        <v>7219</v>
      </c>
      <c r="B1056" t="str">
        <f>IF(F1056=2020,INDEX(SOC2020_Structure!E:E,MATCH(sectorLookup!A1056,SOC2020_Structure!D:D,0)),INDEX(SOC2010_Structure!E:E,MATCH(sectorLookup!A1056,SOC2010_Structure!D:D,0)))</f>
        <v>Customer service occupations n.e.c.</v>
      </c>
      <c r="C1056" t="s">
        <v>263</v>
      </c>
      <c r="D1056" t="str">
        <f>INDEX('group info'!B:B,MATCH(sectorLookup!C1056,'group info'!A:A,0))</f>
        <v>Green</v>
      </c>
      <c r="E1056" t="s">
        <v>282</v>
      </c>
      <c r="F1056">
        <v>2010</v>
      </c>
      <c r="G1056" t="str">
        <f t="shared" si="16"/>
        <v>Green SOC2010</v>
      </c>
    </row>
    <row r="1057" spans="1:7" x14ac:dyDescent="0.35">
      <c r="A1057">
        <v>6215</v>
      </c>
      <c r="B1057" t="str">
        <f>IF(F1057=2020,INDEX(SOC2020_Structure!E:E,MATCH(sectorLookup!A1057,SOC2020_Structure!D:D,0)),INDEX(SOC2010_Structure!E:E,MATCH(sectorLookup!A1057,SOC2010_Structure!D:D,0)))</f>
        <v>Rail travel assistants</v>
      </c>
      <c r="C1057" t="s">
        <v>263</v>
      </c>
      <c r="D1057" t="str">
        <f>INDEX('group info'!B:B,MATCH(sectorLookup!C1057,'group info'!A:A,0))</f>
        <v>Green</v>
      </c>
      <c r="E1057" t="s">
        <v>282</v>
      </c>
      <c r="F1057">
        <v>2010</v>
      </c>
      <c r="G1057" t="str">
        <f t="shared" si="16"/>
        <v>Green SOC2010</v>
      </c>
    </row>
    <row r="1058" spans="1:7" x14ac:dyDescent="0.35">
      <c r="A1058">
        <v>5237</v>
      </c>
      <c r="B1058" t="str">
        <f>IF(F1058=2020,INDEX(SOC2020_Structure!E:E,MATCH(sectorLookup!A1058,SOC2020_Structure!D:D,0)),INDEX(SOC2010_Structure!E:E,MATCH(sectorLookup!A1058,SOC2010_Structure!D:D,0)))</f>
        <v>Rail and rolling stock builders and repairers</v>
      </c>
      <c r="C1058" t="s">
        <v>263</v>
      </c>
      <c r="D1058" t="str">
        <f>INDEX('group info'!B:B,MATCH(sectorLookup!C1058,'group info'!A:A,0))</f>
        <v>Green</v>
      </c>
      <c r="E1058" t="s">
        <v>282</v>
      </c>
      <c r="F1058">
        <v>2010</v>
      </c>
      <c r="G1058" t="str">
        <f t="shared" si="16"/>
        <v>Green SOC2010</v>
      </c>
    </row>
    <row r="1059" spans="1:7" x14ac:dyDescent="0.35">
      <c r="A1059">
        <v>3534</v>
      </c>
      <c r="B1059" t="str">
        <f>IF(F1059=2020,INDEX(SOC2020_Structure!E:E,MATCH(sectorLookup!A1059,SOC2020_Structure!D:D,0)),INDEX(SOC2010_Structure!E:E,MATCH(sectorLookup!A1059,SOC2010_Structure!D:D,0)))</f>
        <v>Finance and investment analysts and advisers</v>
      </c>
      <c r="C1059" t="s">
        <v>263</v>
      </c>
      <c r="D1059" t="str">
        <f>INDEX('group info'!B:B,MATCH(sectorLookup!C1059,'group info'!A:A,0))</f>
        <v>Green</v>
      </c>
      <c r="E1059" t="s">
        <v>282</v>
      </c>
      <c r="F1059">
        <v>2010</v>
      </c>
      <c r="G1059" t="str">
        <f t="shared" si="16"/>
        <v>Green SOC2010</v>
      </c>
    </row>
    <row r="1060" spans="1:7" x14ac:dyDescent="0.35">
      <c r="A1060">
        <v>2135</v>
      </c>
      <c r="B1060" t="str">
        <f>IF(F1060=2020,INDEX(SOC2020_Structure!E:E,MATCH(sectorLookup!A1060,SOC2020_Structure!D:D,0)),INDEX(SOC2010_Structure!E:E,MATCH(sectorLookup!A1060,SOC2010_Structure!D:D,0)))</f>
        <v>IT business analysts, architects and systems designers</v>
      </c>
      <c r="C1060" t="s">
        <v>263</v>
      </c>
      <c r="D1060" t="str">
        <f>INDEX('group info'!B:B,MATCH(sectorLookup!C1060,'group info'!A:A,0))</f>
        <v>Green</v>
      </c>
      <c r="E1060" t="s">
        <v>282</v>
      </c>
      <c r="F1060">
        <v>2010</v>
      </c>
      <c r="G1060" t="str">
        <f t="shared" si="16"/>
        <v>Green SOC2010</v>
      </c>
    </row>
    <row r="1061" spans="1:7" x14ac:dyDescent="0.35">
      <c r="A1061">
        <v>8211</v>
      </c>
      <c r="B1061" t="str">
        <f>IF(F1061=2020,INDEX(SOC2020_Structure!E:E,MATCH(sectorLookup!A1061,SOC2020_Structure!D:D,0)),INDEX(SOC2010_Structure!E:E,MATCH(sectorLookup!A1061,SOC2010_Structure!D:D,0)))</f>
        <v>Large goods vehicle drivers</v>
      </c>
      <c r="C1061" t="s">
        <v>263</v>
      </c>
      <c r="D1061" t="str">
        <f>INDEX('group info'!B:B,MATCH(sectorLookup!C1061,'group info'!A:A,0))</f>
        <v>Green</v>
      </c>
      <c r="E1061" t="s">
        <v>282</v>
      </c>
      <c r="F1061">
        <v>2010</v>
      </c>
      <c r="G1061" t="str">
        <f t="shared" si="16"/>
        <v>Green SOC2010</v>
      </c>
    </row>
    <row r="1062" spans="1:7" x14ac:dyDescent="0.35">
      <c r="A1062">
        <v>7111</v>
      </c>
      <c r="B1062" t="str">
        <f>IF(F1062=2020,INDEX(SOC2020_Structure!E:E,MATCH(sectorLookup!A1062,SOC2020_Structure!D:D,0)),INDEX(SOC2010_Structure!E:E,MATCH(sectorLookup!A1062,SOC2010_Structure!D:D,0)))</f>
        <v>Sales and retail assistants</v>
      </c>
      <c r="C1062" t="s">
        <v>263</v>
      </c>
      <c r="D1062" t="str">
        <f>INDEX('group info'!B:B,MATCH(sectorLookup!C1062,'group info'!A:A,0))</f>
        <v>Green</v>
      </c>
      <c r="E1062" t="s">
        <v>282</v>
      </c>
      <c r="F1062">
        <v>2010</v>
      </c>
      <c r="G1062" t="str">
        <f t="shared" si="16"/>
        <v>Green SOC2010</v>
      </c>
    </row>
    <row r="1063" spans="1:7" x14ac:dyDescent="0.35">
      <c r="A1063">
        <v>2425</v>
      </c>
      <c r="B1063" t="str">
        <f>IF(F1063=2020,INDEX(SOC2020_Structure!E:E,MATCH(sectorLookup!A1063,SOC2020_Structure!D:D,0)),INDEX(SOC2010_Structure!E:E,MATCH(sectorLookup!A1063,SOC2010_Structure!D:D,0)))</f>
        <v>Actuaries, economists and statisticians</v>
      </c>
      <c r="C1063" t="s">
        <v>263</v>
      </c>
      <c r="D1063" t="str">
        <f>INDEX('group info'!B:B,MATCH(sectorLookup!C1063,'group info'!A:A,0))</f>
        <v>Green</v>
      </c>
      <c r="E1063" t="s">
        <v>282</v>
      </c>
      <c r="F1063">
        <v>2010</v>
      </c>
      <c r="G1063" t="str">
        <f t="shared" si="16"/>
        <v>Green SOC2010</v>
      </c>
    </row>
    <row r="1064" spans="1:7" x14ac:dyDescent="0.35">
      <c r="A1064">
        <v>2114</v>
      </c>
      <c r="B1064" t="str">
        <f>IF(F1064=2020,INDEX(SOC2020_Structure!E:E,MATCH(sectorLookup!A1064,SOC2020_Structure!D:D,0)),INDEX(SOC2010_Structure!E:E,MATCH(sectorLookup!A1064,SOC2010_Structure!D:D,0)))</f>
        <v>Social and humanities scientists</v>
      </c>
      <c r="C1064" t="s">
        <v>263</v>
      </c>
      <c r="D1064" t="str">
        <f>INDEX('group info'!B:B,MATCH(sectorLookup!C1064,'group info'!A:A,0))</f>
        <v>Green</v>
      </c>
      <c r="E1064" t="s">
        <v>282</v>
      </c>
      <c r="F1064">
        <v>2010</v>
      </c>
      <c r="G1064" t="str">
        <f t="shared" si="16"/>
        <v>Green SOC2010</v>
      </c>
    </row>
    <row r="1065" spans="1:7" x14ac:dyDescent="0.35">
      <c r="A1065">
        <v>1259</v>
      </c>
      <c r="B1065" t="str">
        <f>IF(F1065=2020,INDEX(SOC2020_Structure!E:E,MATCH(sectorLookup!A1065,SOC2020_Structure!D:D,0)),INDEX(SOC2010_Structure!E:E,MATCH(sectorLookup!A1065,SOC2010_Structure!D:D,0)))</f>
        <v>Managers and proprietors in other services n.e.c.</v>
      </c>
      <c r="C1065" t="s">
        <v>263</v>
      </c>
      <c r="D1065" t="str">
        <f>INDEX('group info'!B:B,MATCH(sectorLookup!C1065,'group info'!A:A,0))</f>
        <v>Green</v>
      </c>
      <c r="E1065" t="s">
        <v>282</v>
      </c>
      <c r="F1065">
        <v>2010</v>
      </c>
      <c r="G1065" t="str">
        <f t="shared" si="16"/>
        <v>Green SOC2010</v>
      </c>
    </row>
    <row r="1066" spans="1:7" x14ac:dyDescent="0.35">
      <c r="A1066">
        <v>2131</v>
      </c>
      <c r="B1066" t="str">
        <f>IF(F1066=2020,INDEX(SOC2020_Structure!E:E,MATCH(sectorLookup!A1066,SOC2020_Structure!D:D,0)),INDEX(SOC2010_Structure!E:E,MATCH(sectorLookup!A1066,SOC2010_Structure!D:D,0)))</f>
        <v>IT project managers</v>
      </c>
      <c r="C1066" t="s">
        <v>682</v>
      </c>
      <c r="D1066" t="str">
        <f>INDEX('group info'!B:B,MATCH(sectorLookup!C1066,'group info'!A:A,0))</f>
        <v>STEM: DCSET</v>
      </c>
      <c r="E1066" t="s">
        <v>681</v>
      </c>
      <c r="F1066">
        <v>2020</v>
      </c>
      <c r="G1066" t="str">
        <f t="shared" si="16"/>
        <v>STEM: DCSET SOC2020</v>
      </c>
    </row>
    <row r="1067" spans="1:7" x14ac:dyDescent="0.35">
      <c r="A1067">
        <v>2132</v>
      </c>
      <c r="B1067" t="str">
        <f>IF(F1067=2020,INDEX(SOC2020_Structure!E:E,MATCH(sectorLookup!A1067,SOC2020_Structure!D:D,0)),INDEX(SOC2010_Structure!E:E,MATCH(sectorLookup!A1067,SOC2010_Structure!D:D,0)))</f>
        <v>IT managers</v>
      </c>
      <c r="C1067" t="s">
        <v>682</v>
      </c>
      <c r="D1067" t="str">
        <f>INDEX('group info'!B:B,MATCH(sectorLookup!C1067,'group info'!A:A,0))</f>
        <v>STEM: DCSET</v>
      </c>
      <c r="E1067" t="s">
        <v>681</v>
      </c>
      <c r="F1067">
        <v>2020</v>
      </c>
      <c r="G1067" t="str">
        <f t="shared" si="16"/>
        <v>STEM: DCSET SOC2020</v>
      </c>
    </row>
    <row r="1068" spans="1:7" x14ac:dyDescent="0.35">
      <c r="A1068">
        <v>2133</v>
      </c>
      <c r="B1068" t="str">
        <f>IF(F1068=2020,INDEX(SOC2020_Structure!E:E,MATCH(sectorLookup!A1068,SOC2020_Structure!D:D,0)),INDEX(SOC2010_Structure!E:E,MATCH(sectorLookup!A1068,SOC2010_Structure!D:D,0)))</f>
        <v>IT business analysts, architects and systems designers</v>
      </c>
      <c r="C1068" t="s">
        <v>682</v>
      </c>
      <c r="D1068" t="str">
        <f>INDEX('group info'!B:B,MATCH(sectorLookup!C1068,'group info'!A:A,0))</f>
        <v>STEM: DCSET</v>
      </c>
      <c r="E1068" t="s">
        <v>681</v>
      </c>
      <c r="F1068">
        <v>2020</v>
      </c>
      <c r="G1068" t="str">
        <f t="shared" si="16"/>
        <v>STEM: DCSET SOC2020</v>
      </c>
    </row>
    <row r="1069" spans="1:7" x14ac:dyDescent="0.35">
      <c r="A1069">
        <v>2134</v>
      </c>
      <c r="B1069" t="str">
        <f>IF(F1069=2020,INDEX(SOC2020_Structure!E:E,MATCH(sectorLookup!A1069,SOC2020_Structure!D:D,0)),INDEX(SOC2010_Structure!E:E,MATCH(sectorLookup!A1069,SOC2010_Structure!D:D,0)))</f>
        <v>Programmers and software development professionals</v>
      </c>
      <c r="C1069" t="s">
        <v>682</v>
      </c>
      <c r="D1069" t="str">
        <f>INDEX('group info'!B:B,MATCH(sectorLookup!C1069,'group info'!A:A,0))</f>
        <v>STEM: DCSET</v>
      </c>
      <c r="E1069" t="s">
        <v>681</v>
      </c>
      <c r="F1069">
        <v>2020</v>
      </c>
      <c r="G1069" t="str">
        <f t="shared" si="16"/>
        <v>STEM: DCSET SOC2020</v>
      </c>
    </row>
    <row r="1070" spans="1:7" x14ac:dyDescent="0.35">
      <c r="A1070">
        <v>2135</v>
      </c>
      <c r="B1070" t="str">
        <f>IF(F1070=2020,INDEX(SOC2020_Structure!E:E,MATCH(sectorLookup!A1070,SOC2020_Structure!D:D,0)),INDEX(SOC2010_Structure!E:E,MATCH(sectorLookup!A1070,SOC2010_Structure!D:D,0)))</f>
        <v>Cyber security professionals</v>
      </c>
      <c r="C1070" t="s">
        <v>682</v>
      </c>
      <c r="D1070" t="str">
        <f>INDEX('group info'!B:B,MATCH(sectorLookup!C1070,'group info'!A:A,0))</f>
        <v>STEM: DCSET</v>
      </c>
      <c r="E1070" t="s">
        <v>681</v>
      </c>
      <c r="F1070">
        <v>2020</v>
      </c>
      <c r="G1070" t="str">
        <f t="shared" si="16"/>
        <v>STEM: DCSET SOC2020</v>
      </c>
    </row>
    <row r="1071" spans="1:7" x14ac:dyDescent="0.35">
      <c r="A1071">
        <v>2136</v>
      </c>
      <c r="B1071" t="str">
        <f>IF(F1071=2020,INDEX(SOC2020_Structure!E:E,MATCH(sectorLookup!A1071,SOC2020_Structure!D:D,0)),INDEX(SOC2010_Structure!E:E,MATCH(sectorLookup!A1071,SOC2010_Structure!D:D,0)))</f>
        <v>IT quality and testing professionals</v>
      </c>
      <c r="C1071" t="s">
        <v>682</v>
      </c>
      <c r="D1071" t="str">
        <f>INDEX('group info'!B:B,MATCH(sectorLookup!C1071,'group info'!A:A,0))</f>
        <v>STEM: DCSET</v>
      </c>
      <c r="E1071" t="s">
        <v>681</v>
      </c>
      <c r="F1071">
        <v>2020</v>
      </c>
      <c r="G1071" t="str">
        <f t="shared" si="16"/>
        <v>STEM: DCSET SOC2020</v>
      </c>
    </row>
    <row r="1072" spans="1:7" x14ac:dyDescent="0.35">
      <c r="A1072">
        <v>2137</v>
      </c>
      <c r="B1072" t="str">
        <f>IF(F1072=2020,INDEX(SOC2020_Structure!E:E,MATCH(sectorLookup!A1072,SOC2020_Structure!D:D,0)),INDEX(SOC2010_Structure!E:E,MATCH(sectorLookup!A1072,SOC2010_Structure!D:D,0)))</f>
        <v>IT network professionals</v>
      </c>
      <c r="C1072" t="s">
        <v>682</v>
      </c>
      <c r="D1072" t="str">
        <f>INDEX('group info'!B:B,MATCH(sectorLookup!C1072,'group info'!A:A,0))</f>
        <v>STEM: DCSET</v>
      </c>
      <c r="E1072" t="s">
        <v>681</v>
      </c>
      <c r="F1072">
        <v>2020</v>
      </c>
      <c r="G1072" t="str">
        <f t="shared" si="16"/>
        <v>STEM: DCSET SOC2020</v>
      </c>
    </row>
    <row r="1073" spans="1:7" x14ac:dyDescent="0.35">
      <c r="A1073">
        <v>2139</v>
      </c>
      <c r="B1073" t="str">
        <f>IF(F1073=2020,INDEX(SOC2020_Structure!E:E,MATCH(sectorLookup!A1073,SOC2020_Structure!D:D,0)),INDEX(SOC2010_Structure!E:E,MATCH(sectorLookup!A1073,SOC2010_Structure!D:D,0)))</f>
        <v>Information technology professionals n.e.c.</v>
      </c>
      <c r="C1073" t="s">
        <v>682</v>
      </c>
      <c r="D1073" t="str">
        <f>INDEX('group info'!B:B,MATCH(sectorLookup!C1073,'group info'!A:A,0))</f>
        <v>STEM: DCSET</v>
      </c>
      <c r="E1073" t="s">
        <v>681</v>
      </c>
      <c r="F1073">
        <v>2020</v>
      </c>
      <c r="G1073" t="str">
        <f t="shared" si="16"/>
        <v>STEM: DCSET SOC2020</v>
      </c>
    </row>
    <row r="1074" spans="1:7" x14ac:dyDescent="0.35">
      <c r="A1074">
        <v>2141</v>
      </c>
      <c r="B1074" t="str">
        <f>IF(F1074=2020,INDEX(SOC2020_Structure!E:E,MATCH(sectorLookup!A1074,SOC2020_Structure!D:D,0)),INDEX(SOC2010_Structure!E:E,MATCH(sectorLookup!A1074,SOC2010_Structure!D:D,0)))</f>
        <v>Web design professionals</v>
      </c>
      <c r="C1074" t="s">
        <v>682</v>
      </c>
      <c r="D1074" t="str">
        <f>INDEX('group info'!B:B,MATCH(sectorLookup!C1074,'group info'!A:A,0))</f>
        <v>STEM: DCSET</v>
      </c>
      <c r="E1074" t="s">
        <v>681</v>
      </c>
      <c r="F1074">
        <v>2020</v>
      </c>
      <c r="G1074" t="str">
        <f t="shared" si="16"/>
        <v>STEM: DCSET SOC2020</v>
      </c>
    </row>
    <row r="1075" spans="1:7" x14ac:dyDescent="0.35">
      <c r="A1075">
        <v>3131</v>
      </c>
      <c r="B1075" t="str">
        <f>IF(F1075=2020,INDEX(SOC2020_Structure!E:E,MATCH(sectorLookup!A1075,SOC2020_Structure!D:D,0)),INDEX(SOC2010_Structure!E:E,MATCH(sectorLookup!A1075,SOC2010_Structure!D:D,0)))</f>
        <v>IT operations technicians</v>
      </c>
      <c r="C1075" t="s">
        <v>682</v>
      </c>
      <c r="D1075" t="str">
        <f>INDEX('group info'!B:B,MATCH(sectorLookup!C1075,'group info'!A:A,0))</f>
        <v>STEM: DCSET</v>
      </c>
      <c r="E1075" t="s">
        <v>681</v>
      </c>
      <c r="F1075">
        <v>2020</v>
      </c>
      <c r="G1075" t="str">
        <f t="shared" si="16"/>
        <v>STEM: DCSET SOC2020</v>
      </c>
    </row>
    <row r="1076" spans="1:7" x14ac:dyDescent="0.35">
      <c r="A1076">
        <v>3132</v>
      </c>
      <c r="B1076" t="str">
        <f>IF(F1076=2020,INDEX(SOC2020_Structure!E:E,MATCH(sectorLookup!A1076,SOC2020_Structure!D:D,0)),INDEX(SOC2010_Structure!E:E,MATCH(sectorLookup!A1076,SOC2010_Structure!D:D,0)))</f>
        <v>IT user support technicians</v>
      </c>
      <c r="C1076" t="s">
        <v>682</v>
      </c>
      <c r="D1076" t="str">
        <f>INDEX('group info'!B:B,MATCH(sectorLookup!C1076,'group info'!A:A,0))</f>
        <v>STEM: DCSET</v>
      </c>
      <c r="E1076" t="s">
        <v>681</v>
      </c>
      <c r="F1076">
        <v>2020</v>
      </c>
      <c r="G1076" t="str">
        <f t="shared" si="16"/>
        <v>STEM: DCSET SOC2020</v>
      </c>
    </row>
    <row r="1077" spans="1:7" x14ac:dyDescent="0.35">
      <c r="A1077">
        <v>3133</v>
      </c>
      <c r="B1077" t="str">
        <f>IF(F1077=2020,INDEX(SOC2020_Structure!E:E,MATCH(sectorLookup!A1077,SOC2020_Structure!D:D,0)),INDEX(SOC2010_Structure!E:E,MATCH(sectorLookup!A1077,SOC2010_Structure!D:D,0)))</f>
        <v>Database administrators and web content technicians</v>
      </c>
      <c r="C1077" t="s">
        <v>682</v>
      </c>
      <c r="D1077" t="str">
        <f>INDEX('group info'!B:B,MATCH(sectorLookup!C1077,'group info'!A:A,0))</f>
        <v>STEM: DCSET</v>
      </c>
      <c r="E1077" t="s">
        <v>681</v>
      </c>
      <c r="F1077">
        <v>2020</v>
      </c>
      <c r="G1077" t="str">
        <f t="shared" si="16"/>
        <v>STEM: DCSET SOC2020</v>
      </c>
    </row>
    <row r="1078" spans="1:7" x14ac:dyDescent="0.35">
      <c r="A1078">
        <v>3544</v>
      </c>
      <c r="B1078" t="str">
        <f>IF(F1078=2020,INDEX(SOC2020_Structure!E:E,MATCH(sectorLookup!A1078,SOC2020_Structure!D:D,0)),INDEX(SOC2010_Structure!E:E,MATCH(sectorLookup!A1078,SOC2010_Structure!D:D,0)))</f>
        <v>Data analysts</v>
      </c>
      <c r="C1078" t="s">
        <v>682</v>
      </c>
      <c r="D1078" t="str">
        <f>INDEX('group info'!B:B,MATCH(sectorLookup!C1078,'group info'!A:A,0))</f>
        <v>STEM: DCSET</v>
      </c>
      <c r="E1078" t="s">
        <v>681</v>
      </c>
      <c r="F1078">
        <v>2020</v>
      </c>
      <c r="G1078" t="str">
        <f t="shared" si="16"/>
        <v>STEM: DCSET SOC2020</v>
      </c>
    </row>
    <row r="1079" spans="1:7" x14ac:dyDescent="0.35">
      <c r="A1079">
        <v>3573</v>
      </c>
      <c r="B1079" t="str">
        <f>IF(F1079=2020,INDEX(SOC2020_Structure!E:E,MATCH(sectorLookup!A1079,SOC2020_Structure!D:D,0)),INDEX(SOC2010_Structure!E:E,MATCH(sectorLookup!A1079,SOC2010_Structure!D:D,0)))</f>
        <v>Information technology trainers</v>
      </c>
      <c r="C1079" t="s">
        <v>682</v>
      </c>
      <c r="D1079" t="str">
        <f>INDEX('group info'!B:B,MATCH(sectorLookup!C1079,'group info'!A:A,0))</f>
        <v>STEM: DCSET</v>
      </c>
      <c r="E1079" t="s">
        <v>681</v>
      </c>
      <c r="F1079">
        <v>2020</v>
      </c>
      <c r="G1079" t="str">
        <f t="shared" si="16"/>
        <v>STEM: DCSET SOC2020</v>
      </c>
    </row>
    <row r="1080" spans="1:7" x14ac:dyDescent="0.35">
      <c r="A1080">
        <v>2111</v>
      </c>
      <c r="B1080" t="str">
        <f>IF(F1080=2020,INDEX(SOC2020_Structure!E:E,MATCH(sectorLookup!A1080,SOC2020_Structure!D:D,0)),INDEX(SOC2010_Structure!E:E,MATCH(sectorLookup!A1080,SOC2010_Structure!D:D,0)))</f>
        <v>Chemical scientists</v>
      </c>
      <c r="C1080" t="s">
        <v>685</v>
      </c>
      <c r="D1080" t="str">
        <f>INDEX('group info'!B:B,MATCH(sectorLookup!C1080,'group info'!A:A,0))</f>
        <v>STEM: Critical technology key occupations</v>
      </c>
      <c r="E1080" t="s">
        <v>681</v>
      </c>
      <c r="F1080">
        <v>2020</v>
      </c>
      <c r="G1080" t="str">
        <f t="shared" si="16"/>
        <v>STEM: Critical technology key occupations SOC2020</v>
      </c>
    </row>
    <row r="1081" spans="1:7" x14ac:dyDescent="0.35">
      <c r="A1081">
        <v>2112</v>
      </c>
      <c r="B1081" t="str">
        <f>IF(F1081=2020,INDEX(SOC2020_Structure!E:E,MATCH(sectorLookup!A1081,SOC2020_Structure!D:D,0)),INDEX(SOC2010_Structure!E:E,MATCH(sectorLookup!A1081,SOC2010_Structure!D:D,0)))</f>
        <v>Biological scientists</v>
      </c>
      <c r="C1081" t="s">
        <v>685</v>
      </c>
      <c r="D1081" t="str">
        <f>INDEX('group info'!B:B,MATCH(sectorLookup!C1081,'group info'!A:A,0))</f>
        <v>STEM: Critical technology key occupations</v>
      </c>
      <c r="E1081" t="s">
        <v>681</v>
      </c>
      <c r="F1081">
        <v>2020</v>
      </c>
      <c r="G1081" t="str">
        <f t="shared" si="16"/>
        <v>STEM: Critical technology key occupations SOC2020</v>
      </c>
    </row>
    <row r="1082" spans="1:7" x14ac:dyDescent="0.35">
      <c r="A1082">
        <v>2113</v>
      </c>
      <c r="B1082" t="str">
        <f>IF(F1082=2020,INDEX(SOC2020_Structure!E:E,MATCH(sectorLookup!A1082,SOC2020_Structure!D:D,0)),INDEX(SOC2010_Structure!E:E,MATCH(sectorLookup!A1082,SOC2010_Structure!D:D,0)))</f>
        <v>Biochemists and biomedical scientists</v>
      </c>
      <c r="C1082" t="s">
        <v>685</v>
      </c>
      <c r="D1082" t="str">
        <f>INDEX('group info'!B:B,MATCH(sectorLookup!C1082,'group info'!A:A,0))</f>
        <v>STEM: Critical technology key occupations</v>
      </c>
      <c r="E1082" t="s">
        <v>681</v>
      </c>
      <c r="F1082">
        <v>2020</v>
      </c>
      <c r="G1082" t="str">
        <f t="shared" si="16"/>
        <v>STEM: Critical technology key occupations SOC2020</v>
      </c>
    </row>
    <row r="1083" spans="1:7" x14ac:dyDescent="0.35">
      <c r="A1083">
        <v>2114</v>
      </c>
      <c r="B1083" t="str">
        <f>IF(F1083=2020,INDEX(SOC2020_Structure!E:E,MATCH(sectorLookup!A1083,SOC2020_Structure!D:D,0)),INDEX(SOC2010_Structure!E:E,MATCH(sectorLookup!A1083,SOC2010_Structure!D:D,0)))</f>
        <v>Physical scientists</v>
      </c>
      <c r="C1083" t="s">
        <v>685</v>
      </c>
      <c r="D1083" t="str">
        <f>INDEX('group info'!B:B,MATCH(sectorLookup!C1083,'group info'!A:A,0))</f>
        <v>STEM: Critical technology key occupations</v>
      </c>
      <c r="E1083" t="s">
        <v>681</v>
      </c>
      <c r="F1083">
        <v>2020</v>
      </c>
      <c r="G1083" t="str">
        <f t="shared" si="16"/>
        <v>STEM: Critical technology key occupations SOC2020</v>
      </c>
    </row>
    <row r="1084" spans="1:7" x14ac:dyDescent="0.35">
      <c r="A1084">
        <v>2123</v>
      </c>
      <c r="B1084" t="str">
        <f>IF(F1084=2020,INDEX(SOC2020_Structure!E:E,MATCH(sectorLookup!A1084,SOC2020_Structure!D:D,0)),INDEX(SOC2010_Structure!E:E,MATCH(sectorLookup!A1084,SOC2010_Structure!D:D,0)))</f>
        <v>Electrical engineers</v>
      </c>
      <c r="C1084" t="s">
        <v>685</v>
      </c>
      <c r="D1084" t="str">
        <f>INDEX('group info'!B:B,MATCH(sectorLookup!C1084,'group info'!A:A,0))</f>
        <v>STEM: Critical technology key occupations</v>
      </c>
      <c r="E1084" t="s">
        <v>681</v>
      </c>
      <c r="F1084">
        <v>2020</v>
      </c>
      <c r="G1084" t="str">
        <f t="shared" si="16"/>
        <v>STEM: Critical technology key occupations SOC2020</v>
      </c>
    </row>
    <row r="1085" spans="1:7" x14ac:dyDescent="0.35">
      <c r="A1085">
        <v>2124</v>
      </c>
      <c r="B1085" t="str">
        <f>IF(F1085=2020,INDEX(SOC2020_Structure!E:E,MATCH(sectorLookup!A1085,SOC2020_Structure!D:D,0)),INDEX(SOC2010_Structure!E:E,MATCH(sectorLookup!A1085,SOC2010_Structure!D:D,0)))</f>
        <v>Electronics engineers</v>
      </c>
      <c r="C1085" t="s">
        <v>685</v>
      </c>
      <c r="D1085" t="str">
        <f>INDEX('group info'!B:B,MATCH(sectorLookup!C1085,'group info'!A:A,0))</f>
        <v>STEM: Critical technology key occupations</v>
      </c>
      <c r="E1085" t="s">
        <v>681</v>
      </c>
      <c r="F1085">
        <v>2020</v>
      </c>
      <c r="G1085" t="str">
        <f t="shared" si="16"/>
        <v>STEM: Critical technology key occupations SOC2020</v>
      </c>
    </row>
    <row r="1086" spans="1:7" x14ac:dyDescent="0.35">
      <c r="A1086">
        <v>2125</v>
      </c>
      <c r="B1086" t="str">
        <f>IF(F1086=2020,INDEX(SOC2020_Structure!E:E,MATCH(sectorLookup!A1086,SOC2020_Structure!D:D,0)),INDEX(SOC2010_Structure!E:E,MATCH(sectorLookup!A1086,SOC2010_Structure!D:D,0)))</f>
        <v>Production and process engineers</v>
      </c>
      <c r="C1086" t="s">
        <v>685</v>
      </c>
      <c r="D1086" t="str">
        <f>INDEX('group info'!B:B,MATCH(sectorLookup!C1086,'group info'!A:A,0))</f>
        <v>STEM: Critical technology key occupations</v>
      </c>
      <c r="E1086" t="s">
        <v>681</v>
      </c>
      <c r="F1086">
        <v>2020</v>
      </c>
      <c r="G1086" t="str">
        <f t="shared" si="16"/>
        <v>STEM: Critical technology key occupations SOC2020</v>
      </c>
    </row>
    <row r="1087" spans="1:7" x14ac:dyDescent="0.35">
      <c r="A1087">
        <v>2127</v>
      </c>
      <c r="B1087" t="str">
        <f>IF(F1087=2020,INDEX(SOC2020_Structure!E:E,MATCH(sectorLookup!A1087,SOC2020_Structure!D:D,0)),INDEX(SOC2010_Structure!E:E,MATCH(sectorLookup!A1087,SOC2010_Structure!D:D,0)))</f>
        <v>Engineering project managers and project engineers</v>
      </c>
      <c r="C1087" t="s">
        <v>685</v>
      </c>
      <c r="D1087" t="str">
        <f>INDEX('group info'!B:B,MATCH(sectorLookup!C1087,'group info'!A:A,0))</f>
        <v>STEM: Critical technology key occupations</v>
      </c>
      <c r="E1087" t="s">
        <v>681</v>
      </c>
      <c r="F1087">
        <v>2020</v>
      </c>
      <c r="G1087" t="str">
        <f t="shared" si="16"/>
        <v>STEM: Critical technology key occupations SOC2020</v>
      </c>
    </row>
    <row r="1088" spans="1:7" x14ac:dyDescent="0.35">
      <c r="A1088">
        <v>2129</v>
      </c>
      <c r="B1088" t="str">
        <f>IF(F1088=2020,INDEX(SOC2020_Structure!E:E,MATCH(sectorLookup!A1088,SOC2020_Structure!D:D,0)),INDEX(SOC2010_Structure!E:E,MATCH(sectorLookup!A1088,SOC2010_Structure!D:D,0)))</f>
        <v>Engineering professionals n.e.c.</v>
      </c>
      <c r="C1088" t="s">
        <v>685</v>
      </c>
      <c r="D1088" t="str">
        <f>INDEX('group info'!B:B,MATCH(sectorLookup!C1088,'group info'!A:A,0))</f>
        <v>STEM: Critical technology key occupations</v>
      </c>
      <c r="E1088" t="s">
        <v>681</v>
      </c>
      <c r="F1088">
        <v>2020</v>
      </c>
      <c r="G1088" t="str">
        <f t="shared" si="16"/>
        <v>STEM: Critical technology key occupations SOC2020</v>
      </c>
    </row>
    <row r="1089" spans="1:7" x14ac:dyDescent="0.35">
      <c r="A1089">
        <v>2131</v>
      </c>
      <c r="B1089" t="str">
        <f>IF(F1089=2020,INDEX(SOC2020_Structure!E:E,MATCH(sectorLookup!A1089,SOC2020_Structure!D:D,0)),INDEX(SOC2010_Structure!E:E,MATCH(sectorLookup!A1089,SOC2010_Structure!D:D,0)))</f>
        <v>IT project managers</v>
      </c>
      <c r="C1089" t="s">
        <v>685</v>
      </c>
      <c r="D1089" t="str">
        <f>INDEX('group info'!B:B,MATCH(sectorLookup!C1089,'group info'!A:A,0))</f>
        <v>STEM: Critical technology key occupations</v>
      </c>
      <c r="E1089" t="s">
        <v>681</v>
      </c>
      <c r="F1089">
        <v>2020</v>
      </c>
      <c r="G1089" t="str">
        <f t="shared" si="16"/>
        <v>STEM: Critical technology key occupations SOC2020</v>
      </c>
    </row>
    <row r="1090" spans="1:7" x14ac:dyDescent="0.35">
      <c r="A1090">
        <v>2132</v>
      </c>
      <c r="B1090" t="str">
        <f>IF(F1090=2020,INDEX(SOC2020_Structure!E:E,MATCH(sectorLookup!A1090,SOC2020_Structure!D:D,0)),INDEX(SOC2010_Structure!E:E,MATCH(sectorLookup!A1090,SOC2010_Structure!D:D,0)))</f>
        <v>IT managers</v>
      </c>
      <c r="C1090" t="s">
        <v>685</v>
      </c>
      <c r="D1090" t="str">
        <f>INDEX('group info'!B:B,MATCH(sectorLookup!C1090,'group info'!A:A,0))</f>
        <v>STEM: Critical technology key occupations</v>
      </c>
      <c r="E1090" t="s">
        <v>681</v>
      </c>
      <c r="F1090">
        <v>2020</v>
      </c>
      <c r="G1090" t="str">
        <f t="shared" si="16"/>
        <v>STEM: Critical technology key occupations SOC2020</v>
      </c>
    </row>
    <row r="1091" spans="1:7" x14ac:dyDescent="0.35">
      <c r="A1091">
        <v>2133</v>
      </c>
      <c r="B1091" t="str">
        <f>IF(F1091=2020,INDEX(SOC2020_Structure!E:E,MATCH(sectorLookup!A1091,SOC2020_Structure!D:D,0)),INDEX(SOC2010_Structure!E:E,MATCH(sectorLookup!A1091,SOC2010_Structure!D:D,0)))</f>
        <v>IT business analysts, architects and systems designers</v>
      </c>
      <c r="C1091" t="s">
        <v>685</v>
      </c>
      <c r="D1091" t="str">
        <f>INDEX('group info'!B:B,MATCH(sectorLookup!C1091,'group info'!A:A,0))</f>
        <v>STEM: Critical technology key occupations</v>
      </c>
      <c r="E1091" t="s">
        <v>681</v>
      </c>
      <c r="F1091">
        <v>2020</v>
      </c>
      <c r="G1091" t="str">
        <f t="shared" ref="G1091:G1154" si="17">D1091&amp;" SOC"&amp;F1091</f>
        <v>STEM: Critical technology key occupations SOC2020</v>
      </c>
    </row>
    <row r="1092" spans="1:7" x14ac:dyDescent="0.35">
      <c r="A1092">
        <v>2134</v>
      </c>
      <c r="B1092" t="str">
        <f>IF(F1092=2020,INDEX(SOC2020_Structure!E:E,MATCH(sectorLookup!A1092,SOC2020_Structure!D:D,0)),INDEX(SOC2010_Structure!E:E,MATCH(sectorLookup!A1092,SOC2010_Structure!D:D,0)))</f>
        <v>Programmers and software development professionals</v>
      </c>
      <c r="C1092" t="s">
        <v>685</v>
      </c>
      <c r="D1092" t="str">
        <f>INDEX('group info'!B:B,MATCH(sectorLookup!C1092,'group info'!A:A,0))</f>
        <v>STEM: Critical technology key occupations</v>
      </c>
      <c r="E1092" t="s">
        <v>681</v>
      </c>
      <c r="F1092">
        <v>2020</v>
      </c>
      <c r="G1092" t="str">
        <f t="shared" si="17"/>
        <v>STEM: Critical technology key occupations SOC2020</v>
      </c>
    </row>
    <row r="1093" spans="1:7" x14ac:dyDescent="0.35">
      <c r="A1093">
        <v>2135</v>
      </c>
      <c r="B1093" t="str">
        <f>IF(F1093=2020,INDEX(SOC2020_Structure!E:E,MATCH(sectorLookup!A1093,SOC2020_Structure!D:D,0)),INDEX(SOC2010_Structure!E:E,MATCH(sectorLookup!A1093,SOC2010_Structure!D:D,0)))</f>
        <v>Cyber security professionals</v>
      </c>
      <c r="C1093" t="s">
        <v>685</v>
      </c>
      <c r="D1093" t="str">
        <f>INDEX('group info'!B:B,MATCH(sectorLookup!C1093,'group info'!A:A,0))</f>
        <v>STEM: Critical technology key occupations</v>
      </c>
      <c r="E1093" t="s">
        <v>681</v>
      </c>
      <c r="F1093">
        <v>2020</v>
      </c>
      <c r="G1093" t="str">
        <f t="shared" si="17"/>
        <v>STEM: Critical technology key occupations SOC2020</v>
      </c>
    </row>
    <row r="1094" spans="1:7" x14ac:dyDescent="0.35">
      <c r="A1094">
        <v>2136</v>
      </c>
      <c r="B1094" t="str">
        <f>IF(F1094=2020,INDEX(SOC2020_Structure!E:E,MATCH(sectorLookup!A1094,SOC2020_Structure!D:D,0)),INDEX(SOC2010_Structure!E:E,MATCH(sectorLookup!A1094,SOC2010_Structure!D:D,0)))</f>
        <v>IT quality and testing professionals</v>
      </c>
      <c r="C1094" t="s">
        <v>685</v>
      </c>
      <c r="D1094" t="str">
        <f>INDEX('group info'!B:B,MATCH(sectorLookup!C1094,'group info'!A:A,0))</f>
        <v>STEM: Critical technology key occupations</v>
      </c>
      <c r="E1094" t="s">
        <v>681</v>
      </c>
      <c r="F1094">
        <v>2020</v>
      </c>
      <c r="G1094" t="str">
        <f t="shared" si="17"/>
        <v>STEM: Critical technology key occupations SOC2020</v>
      </c>
    </row>
    <row r="1095" spans="1:7" x14ac:dyDescent="0.35">
      <c r="A1095">
        <v>2137</v>
      </c>
      <c r="B1095" t="str">
        <f>IF(F1095=2020,INDEX(SOC2020_Structure!E:E,MATCH(sectorLookup!A1095,SOC2020_Structure!D:D,0)),INDEX(SOC2010_Structure!E:E,MATCH(sectorLookup!A1095,SOC2010_Structure!D:D,0)))</f>
        <v>IT network professionals</v>
      </c>
      <c r="C1095" t="s">
        <v>685</v>
      </c>
      <c r="D1095" t="str">
        <f>INDEX('group info'!B:B,MATCH(sectorLookup!C1095,'group info'!A:A,0))</f>
        <v>STEM: Critical technology key occupations</v>
      </c>
      <c r="E1095" t="s">
        <v>681</v>
      </c>
      <c r="F1095">
        <v>2020</v>
      </c>
      <c r="G1095" t="str">
        <f t="shared" si="17"/>
        <v>STEM: Critical technology key occupations SOC2020</v>
      </c>
    </row>
    <row r="1096" spans="1:7" x14ac:dyDescent="0.35">
      <c r="A1096">
        <v>2139</v>
      </c>
      <c r="B1096" t="str">
        <f>IF(F1096=2020,INDEX(SOC2020_Structure!E:E,MATCH(sectorLookup!A1096,SOC2020_Structure!D:D,0)),INDEX(SOC2010_Structure!E:E,MATCH(sectorLookup!A1096,SOC2010_Structure!D:D,0)))</f>
        <v>Information technology professionals n.e.c.</v>
      </c>
      <c r="C1096" t="s">
        <v>685</v>
      </c>
      <c r="D1096" t="str">
        <f>INDEX('group info'!B:B,MATCH(sectorLookup!C1096,'group info'!A:A,0))</f>
        <v>STEM: Critical technology key occupations</v>
      </c>
      <c r="E1096" t="s">
        <v>681</v>
      </c>
      <c r="F1096">
        <v>2020</v>
      </c>
      <c r="G1096" t="str">
        <f t="shared" si="17"/>
        <v>STEM: Critical technology key occupations SOC2020</v>
      </c>
    </row>
    <row r="1097" spans="1:7" x14ac:dyDescent="0.35">
      <c r="A1097">
        <v>2161</v>
      </c>
      <c r="B1097" t="str">
        <f>IF(F1097=2020,INDEX(SOC2020_Structure!E:E,MATCH(sectorLookup!A1097,SOC2020_Structure!D:D,0)),INDEX(SOC2010_Structure!E:E,MATCH(sectorLookup!A1097,SOC2010_Structure!D:D,0)))</f>
        <v>Research and development (R&amp;D) managers</v>
      </c>
      <c r="C1097" t="s">
        <v>685</v>
      </c>
      <c r="D1097" t="str">
        <f>INDEX('group info'!B:B,MATCH(sectorLookup!C1097,'group info'!A:A,0))</f>
        <v>STEM: Critical technology key occupations</v>
      </c>
      <c r="E1097" t="s">
        <v>681</v>
      </c>
      <c r="F1097">
        <v>2020</v>
      </c>
      <c r="G1097" t="str">
        <f t="shared" si="17"/>
        <v>STEM: Critical technology key occupations SOC2020</v>
      </c>
    </row>
    <row r="1098" spans="1:7" x14ac:dyDescent="0.35">
      <c r="A1098">
        <v>2433</v>
      </c>
      <c r="B1098" t="str">
        <f>IF(F1098=2020,INDEX(SOC2020_Structure!E:E,MATCH(sectorLookup!A1098,SOC2020_Structure!D:D,0)),INDEX(SOC2010_Structure!E:E,MATCH(sectorLookup!A1098,SOC2010_Structure!D:D,0)))</f>
        <v>Actuaries, economists and statisticians</v>
      </c>
      <c r="C1098" t="s">
        <v>685</v>
      </c>
      <c r="D1098" t="str">
        <f>INDEX('group info'!B:B,MATCH(sectorLookup!C1098,'group info'!A:A,0))</f>
        <v>STEM: Critical technology key occupations</v>
      </c>
      <c r="E1098" t="s">
        <v>681</v>
      </c>
      <c r="F1098">
        <v>2020</v>
      </c>
      <c r="G1098" t="str">
        <f t="shared" si="17"/>
        <v>STEM: Critical technology key occupations SOC2020</v>
      </c>
    </row>
    <row r="1099" spans="1:7" x14ac:dyDescent="0.35">
      <c r="A1099">
        <v>2481</v>
      </c>
      <c r="B1099" t="str">
        <f>IF(F1099=2020,INDEX(SOC2020_Structure!E:E,MATCH(sectorLookup!A1099,SOC2020_Structure!D:D,0)),INDEX(SOC2010_Structure!E:E,MATCH(sectorLookup!A1099,SOC2010_Structure!D:D,0)))</f>
        <v>Quality control and planning engineers</v>
      </c>
      <c r="C1099" t="s">
        <v>685</v>
      </c>
      <c r="D1099" t="str">
        <f>INDEX('group info'!B:B,MATCH(sectorLookup!C1099,'group info'!A:A,0))</f>
        <v>STEM: Critical technology key occupations</v>
      </c>
      <c r="E1099" t="s">
        <v>681</v>
      </c>
      <c r="F1099">
        <v>2020</v>
      </c>
      <c r="G1099" t="str">
        <f t="shared" si="17"/>
        <v>STEM: Critical technology key occupations SOC2020</v>
      </c>
    </row>
    <row r="1100" spans="1:7" x14ac:dyDescent="0.35">
      <c r="A1100">
        <v>3111</v>
      </c>
      <c r="B1100" t="str">
        <f>IF(F1100=2020,INDEX(SOC2020_Structure!E:E,MATCH(sectorLookup!A1100,SOC2020_Structure!D:D,0)),INDEX(SOC2010_Structure!E:E,MATCH(sectorLookup!A1100,SOC2010_Structure!D:D,0)))</f>
        <v>Laboratory technicians</v>
      </c>
      <c r="C1100" t="s">
        <v>685</v>
      </c>
      <c r="D1100" t="str">
        <f>INDEX('group info'!B:B,MATCH(sectorLookup!C1100,'group info'!A:A,0))</f>
        <v>STEM: Critical technology key occupations</v>
      </c>
      <c r="E1100" t="s">
        <v>681</v>
      </c>
      <c r="F1100">
        <v>2020</v>
      </c>
      <c r="G1100" t="str">
        <f t="shared" si="17"/>
        <v>STEM: Critical technology key occupations SOC2020</v>
      </c>
    </row>
    <row r="1101" spans="1:7" x14ac:dyDescent="0.35">
      <c r="A1101">
        <v>3112</v>
      </c>
      <c r="B1101" t="str">
        <f>IF(F1101=2020,INDEX(SOC2020_Structure!E:E,MATCH(sectorLookup!A1101,SOC2020_Structure!D:D,0)),INDEX(SOC2010_Structure!E:E,MATCH(sectorLookup!A1101,SOC2010_Structure!D:D,0)))</f>
        <v>Electrical and electronics technicians</v>
      </c>
      <c r="C1101" t="s">
        <v>685</v>
      </c>
      <c r="D1101" t="str">
        <f>INDEX('group info'!B:B,MATCH(sectorLookup!C1101,'group info'!A:A,0))</f>
        <v>STEM: Critical technology key occupations</v>
      </c>
      <c r="E1101" t="s">
        <v>681</v>
      </c>
      <c r="F1101">
        <v>2020</v>
      </c>
      <c r="G1101" t="str">
        <f t="shared" si="17"/>
        <v>STEM: Critical technology key occupations SOC2020</v>
      </c>
    </row>
    <row r="1102" spans="1:7" x14ac:dyDescent="0.35">
      <c r="A1102">
        <v>3113</v>
      </c>
      <c r="B1102" t="str">
        <f>IF(F1102=2020,INDEX(SOC2020_Structure!E:E,MATCH(sectorLookup!A1102,SOC2020_Structure!D:D,0)),INDEX(SOC2010_Structure!E:E,MATCH(sectorLookup!A1102,SOC2010_Structure!D:D,0)))</f>
        <v>Engineering technicians</v>
      </c>
      <c r="C1102" t="s">
        <v>685</v>
      </c>
      <c r="D1102" t="str">
        <f>INDEX('group info'!B:B,MATCH(sectorLookup!C1102,'group info'!A:A,0))</f>
        <v>STEM: Critical technology key occupations</v>
      </c>
      <c r="E1102" t="s">
        <v>681</v>
      </c>
      <c r="F1102">
        <v>2020</v>
      </c>
      <c r="G1102" t="str">
        <f t="shared" si="17"/>
        <v>STEM: Critical technology key occupations SOC2020</v>
      </c>
    </row>
    <row r="1103" spans="1:7" x14ac:dyDescent="0.35">
      <c r="A1103">
        <v>3115</v>
      </c>
      <c r="B1103" t="str">
        <f>IF(F1103=2020,INDEX(SOC2020_Structure!E:E,MATCH(sectorLookup!A1103,SOC2020_Structure!D:D,0)),INDEX(SOC2010_Structure!E:E,MATCH(sectorLookup!A1103,SOC2010_Structure!D:D,0)))</f>
        <v>Quality assurance technicians</v>
      </c>
      <c r="C1103" t="s">
        <v>685</v>
      </c>
      <c r="D1103" t="str">
        <f>INDEX('group info'!B:B,MATCH(sectorLookup!C1103,'group info'!A:A,0))</f>
        <v>STEM: Critical technology key occupations</v>
      </c>
      <c r="E1103" t="s">
        <v>681</v>
      </c>
      <c r="F1103">
        <v>2020</v>
      </c>
      <c r="G1103" t="str">
        <f t="shared" si="17"/>
        <v>STEM: Critical technology key occupations SOC2020</v>
      </c>
    </row>
    <row r="1104" spans="1:7" x14ac:dyDescent="0.35">
      <c r="A1104">
        <v>3116</v>
      </c>
      <c r="B1104" t="str">
        <f>IF(F1104=2020,INDEX(SOC2020_Structure!E:E,MATCH(sectorLookup!A1104,SOC2020_Structure!D:D,0)),INDEX(SOC2010_Structure!E:E,MATCH(sectorLookup!A1104,SOC2010_Structure!D:D,0)))</f>
        <v>Planning, process and production technicians</v>
      </c>
      <c r="C1104" t="s">
        <v>685</v>
      </c>
      <c r="D1104" t="str">
        <f>INDEX('group info'!B:B,MATCH(sectorLookup!C1104,'group info'!A:A,0))</f>
        <v>STEM: Critical technology key occupations</v>
      </c>
      <c r="E1104" t="s">
        <v>681</v>
      </c>
      <c r="F1104">
        <v>2020</v>
      </c>
      <c r="G1104" t="str">
        <f t="shared" si="17"/>
        <v>STEM: Critical technology key occupations SOC2020</v>
      </c>
    </row>
    <row r="1105" spans="1:7" x14ac:dyDescent="0.35">
      <c r="A1105">
        <v>3119</v>
      </c>
      <c r="B1105" t="str">
        <f>IF(F1105=2020,INDEX(SOC2020_Structure!E:E,MATCH(sectorLookup!A1105,SOC2020_Structure!D:D,0)),INDEX(SOC2010_Structure!E:E,MATCH(sectorLookup!A1105,SOC2010_Structure!D:D,0)))</f>
        <v>Science, engineering and production technicians n.e.c.</v>
      </c>
      <c r="C1105" t="s">
        <v>685</v>
      </c>
      <c r="D1105" t="str">
        <f>INDEX('group info'!B:B,MATCH(sectorLookup!C1105,'group info'!A:A,0))</f>
        <v>STEM: Critical technology key occupations</v>
      </c>
      <c r="E1105" t="s">
        <v>681</v>
      </c>
      <c r="F1105">
        <v>2020</v>
      </c>
      <c r="G1105" t="str">
        <f t="shared" si="17"/>
        <v>STEM: Critical technology key occupations SOC2020</v>
      </c>
    </row>
    <row r="1106" spans="1:7" x14ac:dyDescent="0.35">
      <c r="A1106">
        <v>3544</v>
      </c>
      <c r="B1106" t="str">
        <f>IF(F1106=2020,INDEX(SOC2020_Structure!E:E,MATCH(sectorLookup!A1106,SOC2020_Structure!D:D,0)),INDEX(SOC2010_Structure!E:E,MATCH(sectorLookup!A1106,SOC2010_Structure!D:D,0)))</f>
        <v>Data analysts</v>
      </c>
      <c r="C1106" t="s">
        <v>685</v>
      </c>
      <c r="D1106" t="str">
        <f>INDEX('group info'!B:B,MATCH(sectorLookup!C1106,'group info'!A:A,0))</f>
        <v>STEM: Critical technology key occupations</v>
      </c>
      <c r="E1106" t="s">
        <v>681</v>
      </c>
      <c r="F1106">
        <v>2020</v>
      </c>
      <c r="G1106" t="str">
        <f t="shared" si="17"/>
        <v>STEM: Critical technology key occupations SOC2020</v>
      </c>
    </row>
    <row r="1107" spans="1:7" x14ac:dyDescent="0.35">
      <c r="A1107">
        <v>3581</v>
      </c>
      <c r="B1107" t="str">
        <f>IF(F1107=2020,INDEX(SOC2020_Structure!E:E,MATCH(sectorLookup!A1107,SOC2020_Structure!D:D,0)),INDEX(SOC2010_Structure!E:E,MATCH(sectorLookup!A1107,SOC2010_Structure!D:D,0)))</f>
        <v>Inspectors of standards and regulations</v>
      </c>
      <c r="C1107" t="s">
        <v>685</v>
      </c>
      <c r="D1107" t="str">
        <f>INDEX('group info'!B:B,MATCH(sectorLookup!C1107,'group info'!A:A,0))</f>
        <v>STEM: Critical technology key occupations</v>
      </c>
      <c r="E1107" t="s">
        <v>681</v>
      </c>
      <c r="F1107">
        <v>2020</v>
      </c>
      <c r="G1107" t="str">
        <f t="shared" si="17"/>
        <v>STEM: Critical technology key occupations SOC2020</v>
      </c>
    </row>
    <row r="1108" spans="1:7" x14ac:dyDescent="0.35">
      <c r="A1108">
        <v>5242</v>
      </c>
      <c r="B1108" t="str">
        <f>IF(F1108=2020,INDEX(SOC2020_Structure!E:E,MATCH(sectorLookup!A1108,SOC2020_Structure!D:D,0)),INDEX(SOC2010_Structure!E:E,MATCH(sectorLookup!A1108,SOC2010_Structure!D:D,0)))</f>
        <v>Telecoms and related network installers and repairers</v>
      </c>
      <c r="C1108" t="s">
        <v>685</v>
      </c>
      <c r="D1108" t="str">
        <f>INDEX('group info'!B:B,MATCH(sectorLookup!C1108,'group info'!A:A,0))</f>
        <v>STEM: Critical technology key occupations</v>
      </c>
      <c r="E1108" t="s">
        <v>681</v>
      </c>
      <c r="F1108">
        <v>2020</v>
      </c>
      <c r="G1108" t="str">
        <f t="shared" si="17"/>
        <v>STEM: Critical technology key occupations SOC2020</v>
      </c>
    </row>
    <row r="1109" spans="1:7" x14ac:dyDescent="0.35">
      <c r="A1109">
        <v>8119</v>
      </c>
      <c r="B1109" t="str">
        <f>IF(F1109=2020,INDEX(SOC2020_Structure!E:E,MATCH(sectorLookup!A1109,SOC2020_Structure!D:D,0)),INDEX(SOC2010_Structure!E:E,MATCH(sectorLookup!A1109,SOC2010_Structure!D:D,0)))</f>
        <v>Process operatives n.e.c.</v>
      </c>
      <c r="C1109" t="s">
        <v>685</v>
      </c>
      <c r="D1109" t="str">
        <f>INDEX('group info'!B:B,MATCH(sectorLookup!C1109,'group info'!A:A,0))</f>
        <v>STEM: Critical technology key occupations</v>
      </c>
      <c r="E1109" t="s">
        <v>681</v>
      </c>
      <c r="F1109">
        <v>2020</v>
      </c>
      <c r="G1109" t="str">
        <f t="shared" si="17"/>
        <v>STEM: Critical technology key occupations SOC2020</v>
      </c>
    </row>
    <row r="1110" spans="1:7" x14ac:dyDescent="0.35">
      <c r="A1110">
        <v>8139</v>
      </c>
      <c r="B1110" t="str">
        <f>IF(F1110=2020,INDEX(SOC2020_Structure!E:E,MATCH(sectorLookup!A1110,SOC2020_Structure!D:D,0)),INDEX(SOC2010_Structure!E:E,MATCH(sectorLookup!A1110,SOC2010_Structure!D:D,0)))</f>
        <v>Plant and machine operatives n.e.c.</v>
      </c>
      <c r="C1110" t="s">
        <v>685</v>
      </c>
      <c r="D1110" t="str">
        <f>INDEX('group info'!B:B,MATCH(sectorLookup!C1110,'group info'!A:A,0))</f>
        <v>STEM: Critical technology key occupations</v>
      </c>
      <c r="E1110" t="s">
        <v>681</v>
      </c>
      <c r="F1110">
        <v>2020</v>
      </c>
      <c r="G1110" t="str">
        <f t="shared" si="17"/>
        <v>STEM: Critical technology key occupations SOC2020</v>
      </c>
    </row>
    <row r="1111" spans="1:7" x14ac:dyDescent="0.35">
      <c r="A1111">
        <v>8143</v>
      </c>
      <c r="B1111" t="str">
        <f>IF(F1111=2020,INDEX(SOC2020_Structure!E:E,MATCH(sectorLookup!A1111,SOC2020_Structure!D:D,0)),INDEX(SOC2010_Structure!E:E,MATCH(sectorLookup!A1111,SOC2010_Structure!D:D,0)))</f>
        <v>Routine inspectors and testers</v>
      </c>
      <c r="C1111" t="s">
        <v>685</v>
      </c>
      <c r="D1111" t="str">
        <f>INDEX('group info'!B:B,MATCH(sectorLookup!C1111,'group info'!A:A,0))</f>
        <v>STEM: Critical technology key occupations</v>
      </c>
      <c r="E1111" t="s">
        <v>681</v>
      </c>
      <c r="F1111">
        <v>2020</v>
      </c>
      <c r="G1111" t="str">
        <f t="shared" si="17"/>
        <v>STEM: Critical technology key occupations SOC2020</v>
      </c>
    </row>
    <row r="1112" spans="1:7" x14ac:dyDescent="0.35">
      <c r="A1112">
        <v>2129</v>
      </c>
      <c r="B1112" t="str">
        <f>IF(F1112=2020,INDEX(SOC2020_Structure!E:E,MATCH(sectorLookup!A1112,SOC2020_Structure!D:D,0)),INDEX(SOC2010_Structure!E:E,MATCH(sectorLookup!A1112,SOC2010_Structure!D:D,0)))</f>
        <v>Engineering professionals n.e.c.</v>
      </c>
      <c r="C1112" t="s">
        <v>686</v>
      </c>
      <c r="D1112" t="str">
        <f>INDEX('group info'!B:B,MATCH(sectorLookup!C1112,'group info'!A:A,0))</f>
        <v>STEM: AI</v>
      </c>
      <c r="E1112" t="s">
        <v>681</v>
      </c>
      <c r="F1112">
        <v>2020</v>
      </c>
      <c r="G1112" t="str">
        <f t="shared" si="17"/>
        <v>STEM: AI SOC2020</v>
      </c>
    </row>
    <row r="1113" spans="1:7" x14ac:dyDescent="0.35">
      <c r="A1113">
        <v>2131</v>
      </c>
      <c r="B1113" t="str">
        <f>IF(F1113=2020,INDEX(SOC2020_Structure!E:E,MATCH(sectorLookup!A1113,SOC2020_Structure!D:D,0)),INDEX(SOC2010_Structure!E:E,MATCH(sectorLookup!A1113,SOC2010_Structure!D:D,0)))</f>
        <v>IT project managers</v>
      </c>
      <c r="C1113" t="s">
        <v>686</v>
      </c>
      <c r="D1113" t="str">
        <f>INDEX('group info'!B:B,MATCH(sectorLookup!C1113,'group info'!A:A,0))</f>
        <v>STEM: AI</v>
      </c>
      <c r="E1113" t="s">
        <v>681</v>
      </c>
      <c r="F1113">
        <v>2020</v>
      </c>
      <c r="G1113" t="str">
        <f t="shared" si="17"/>
        <v>STEM: AI SOC2020</v>
      </c>
    </row>
    <row r="1114" spans="1:7" x14ac:dyDescent="0.35">
      <c r="A1114">
        <v>2132</v>
      </c>
      <c r="B1114" t="str">
        <f>IF(F1114=2020,INDEX(SOC2020_Structure!E:E,MATCH(sectorLookup!A1114,SOC2020_Structure!D:D,0)),INDEX(SOC2010_Structure!E:E,MATCH(sectorLookup!A1114,SOC2010_Structure!D:D,0)))</f>
        <v>IT managers</v>
      </c>
      <c r="C1114" t="s">
        <v>686</v>
      </c>
      <c r="D1114" t="str">
        <f>INDEX('group info'!B:B,MATCH(sectorLookup!C1114,'group info'!A:A,0))</f>
        <v>STEM: AI</v>
      </c>
      <c r="E1114" t="s">
        <v>681</v>
      </c>
      <c r="F1114">
        <v>2020</v>
      </c>
      <c r="G1114" t="str">
        <f t="shared" si="17"/>
        <v>STEM: AI SOC2020</v>
      </c>
    </row>
    <row r="1115" spans="1:7" x14ac:dyDescent="0.35">
      <c r="A1115">
        <v>2133</v>
      </c>
      <c r="B1115" t="str">
        <f>IF(F1115=2020,INDEX(SOC2020_Structure!E:E,MATCH(sectorLookup!A1115,SOC2020_Structure!D:D,0)),INDEX(SOC2010_Structure!E:E,MATCH(sectorLookup!A1115,SOC2010_Structure!D:D,0)))</f>
        <v>IT business analysts, architects and systems designers</v>
      </c>
      <c r="C1115" t="s">
        <v>686</v>
      </c>
      <c r="D1115" t="str">
        <f>INDEX('group info'!B:B,MATCH(sectorLookup!C1115,'group info'!A:A,0))</f>
        <v>STEM: AI</v>
      </c>
      <c r="E1115" t="s">
        <v>681</v>
      </c>
      <c r="F1115">
        <v>2020</v>
      </c>
      <c r="G1115" t="str">
        <f t="shared" si="17"/>
        <v>STEM: AI SOC2020</v>
      </c>
    </row>
    <row r="1116" spans="1:7" x14ac:dyDescent="0.35">
      <c r="A1116">
        <v>2134</v>
      </c>
      <c r="B1116" t="str">
        <f>IF(F1116=2020,INDEX(SOC2020_Structure!E:E,MATCH(sectorLookup!A1116,SOC2020_Structure!D:D,0)),INDEX(SOC2010_Structure!E:E,MATCH(sectorLookup!A1116,SOC2010_Structure!D:D,0)))</f>
        <v>Programmers and software development professionals</v>
      </c>
      <c r="C1116" t="s">
        <v>686</v>
      </c>
      <c r="D1116" t="str">
        <f>INDEX('group info'!B:B,MATCH(sectorLookup!C1116,'group info'!A:A,0))</f>
        <v>STEM: AI</v>
      </c>
      <c r="E1116" t="s">
        <v>681</v>
      </c>
      <c r="F1116">
        <v>2020</v>
      </c>
      <c r="G1116" t="str">
        <f t="shared" si="17"/>
        <v>STEM: AI SOC2020</v>
      </c>
    </row>
    <row r="1117" spans="1:7" x14ac:dyDescent="0.35">
      <c r="A1117">
        <v>2135</v>
      </c>
      <c r="B1117" t="str">
        <f>IF(F1117=2020,INDEX(SOC2020_Structure!E:E,MATCH(sectorLookup!A1117,SOC2020_Structure!D:D,0)),INDEX(SOC2010_Structure!E:E,MATCH(sectorLookup!A1117,SOC2010_Structure!D:D,0)))</f>
        <v>Cyber security professionals</v>
      </c>
      <c r="C1117" t="s">
        <v>686</v>
      </c>
      <c r="D1117" t="str">
        <f>INDEX('group info'!B:B,MATCH(sectorLookup!C1117,'group info'!A:A,0))</f>
        <v>STEM: AI</v>
      </c>
      <c r="E1117" t="s">
        <v>681</v>
      </c>
      <c r="F1117">
        <v>2020</v>
      </c>
      <c r="G1117" t="str">
        <f t="shared" si="17"/>
        <v>STEM: AI SOC2020</v>
      </c>
    </row>
    <row r="1118" spans="1:7" x14ac:dyDescent="0.35">
      <c r="A1118">
        <v>2136</v>
      </c>
      <c r="B1118" t="str">
        <f>IF(F1118=2020,INDEX(SOC2020_Structure!E:E,MATCH(sectorLookup!A1118,SOC2020_Structure!D:D,0)),INDEX(SOC2010_Structure!E:E,MATCH(sectorLookup!A1118,SOC2010_Structure!D:D,0)))</f>
        <v>IT quality and testing professionals</v>
      </c>
      <c r="C1118" t="s">
        <v>686</v>
      </c>
      <c r="D1118" t="str">
        <f>INDEX('group info'!B:B,MATCH(sectorLookup!C1118,'group info'!A:A,0))</f>
        <v>STEM: AI</v>
      </c>
      <c r="E1118" t="s">
        <v>681</v>
      </c>
      <c r="F1118">
        <v>2020</v>
      </c>
      <c r="G1118" t="str">
        <f t="shared" si="17"/>
        <v>STEM: AI SOC2020</v>
      </c>
    </row>
    <row r="1119" spans="1:7" x14ac:dyDescent="0.35">
      <c r="A1119">
        <v>2139</v>
      </c>
      <c r="B1119" t="str">
        <f>IF(F1119=2020,INDEX(SOC2020_Structure!E:E,MATCH(sectorLookup!A1119,SOC2020_Structure!D:D,0)),INDEX(SOC2010_Structure!E:E,MATCH(sectorLookup!A1119,SOC2010_Structure!D:D,0)))</f>
        <v>Information technology professionals n.e.c.</v>
      </c>
      <c r="C1119" t="s">
        <v>686</v>
      </c>
      <c r="D1119" t="str">
        <f>INDEX('group info'!B:B,MATCH(sectorLookup!C1119,'group info'!A:A,0))</f>
        <v>STEM: AI</v>
      </c>
      <c r="E1119" t="s">
        <v>681</v>
      </c>
      <c r="F1119">
        <v>2020</v>
      </c>
      <c r="G1119" t="str">
        <f t="shared" si="17"/>
        <v>STEM: AI SOC2020</v>
      </c>
    </row>
    <row r="1120" spans="1:7" x14ac:dyDescent="0.35">
      <c r="A1120">
        <v>2433</v>
      </c>
      <c r="B1120" t="str">
        <f>IF(F1120=2020,INDEX(SOC2020_Structure!E:E,MATCH(sectorLookup!A1120,SOC2020_Structure!D:D,0)),INDEX(SOC2010_Structure!E:E,MATCH(sectorLookup!A1120,SOC2010_Structure!D:D,0)))</f>
        <v>Actuaries, economists and statisticians</v>
      </c>
      <c r="C1120" t="s">
        <v>686</v>
      </c>
      <c r="D1120" t="str">
        <f>INDEX('group info'!B:B,MATCH(sectorLookup!C1120,'group info'!A:A,0))</f>
        <v>STEM: AI</v>
      </c>
      <c r="E1120" t="s">
        <v>681</v>
      </c>
      <c r="F1120">
        <v>2020</v>
      </c>
      <c r="G1120" t="str">
        <f t="shared" si="17"/>
        <v>STEM: AI SOC2020</v>
      </c>
    </row>
    <row r="1121" spans="1:7" x14ac:dyDescent="0.35">
      <c r="A1121">
        <v>3544</v>
      </c>
      <c r="B1121" t="str">
        <f>IF(F1121=2020,INDEX(SOC2020_Structure!E:E,MATCH(sectorLookup!A1121,SOC2020_Structure!D:D,0)),INDEX(SOC2010_Structure!E:E,MATCH(sectorLookup!A1121,SOC2010_Structure!D:D,0)))</f>
        <v>Data analysts</v>
      </c>
      <c r="C1121" t="s">
        <v>686</v>
      </c>
      <c r="D1121" t="str">
        <f>INDEX('group info'!B:B,MATCH(sectorLookup!C1121,'group info'!A:A,0))</f>
        <v>STEM: AI</v>
      </c>
      <c r="E1121" t="s">
        <v>681</v>
      </c>
      <c r="F1121">
        <v>2020</v>
      </c>
      <c r="G1121" t="str">
        <f t="shared" si="17"/>
        <v>STEM: AI SOC2020</v>
      </c>
    </row>
    <row r="1122" spans="1:7" x14ac:dyDescent="0.35">
      <c r="A1122">
        <v>2111</v>
      </c>
      <c r="B1122" t="str">
        <f>IF(F1122=2020,INDEX(SOC2020_Structure!E:E,MATCH(sectorLookup!A1122,SOC2020_Structure!D:D,0)),INDEX(SOC2010_Structure!E:E,MATCH(sectorLookup!A1122,SOC2010_Structure!D:D,0)))</f>
        <v>Chemical scientists</v>
      </c>
      <c r="C1122" t="s">
        <v>687</v>
      </c>
      <c r="D1122" t="str">
        <f>INDEX('group info'!B:B,MATCH(sectorLookup!C1122,'group info'!A:A,0))</f>
        <v>STEM: Eng Bio</v>
      </c>
      <c r="E1122" t="s">
        <v>681</v>
      </c>
      <c r="F1122">
        <v>2020</v>
      </c>
      <c r="G1122" t="str">
        <f t="shared" si="17"/>
        <v>STEM: Eng Bio SOC2020</v>
      </c>
    </row>
    <row r="1123" spans="1:7" x14ac:dyDescent="0.35">
      <c r="A1123">
        <v>2112</v>
      </c>
      <c r="B1123" t="str">
        <f>IF(F1123=2020,INDEX(SOC2020_Structure!E:E,MATCH(sectorLookup!A1123,SOC2020_Structure!D:D,0)),INDEX(SOC2010_Structure!E:E,MATCH(sectorLookup!A1123,SOC2010_Structure!D:D,0)))</f>
        <v>Biological scientists</v>
      </c>
      <c r="C1123" t="s">
        <v>687</v>
      </c>
      <c r="D1123" t="str">
        <f>INDEX('group info'!B:B,MATCH(sectorLookup!C1123,'group info'!A:A,0))</f>
        <v>STEM: Eng Bio</v>
      </c>
      <c r="E1123" t="s">
        <v>681</v>
      </c>
      <c r="F1123">
        <v>2020</v>
      </c>
      <c r="G1123" t="str">
        <f t="shared" si="17"/>
        <v>STEM: Eng Bio SOC2020</v>
      </c>
    </row>
    <row r="1124" spans="1:7" x14ac:dyDescent="0.35">
      <c r="A1124">
        <v>2113</v>
      </c>
      <c r="B1124" t="str">
        <f>IF(F1124=2020,INDEX(SOC2020_Structure!E:E,MATCH(sectorLookup!A1124,SOC2020_Structure!D:D,0)),INDEX(SOC2010_Structure!E:E,MATCH(sectorLookup!A1124,SOC2010_Structure!D:D,0)))</f>
        <v>Biochemists and biomedical scientists</v>
      </c>
      <c r="C1124" t="s">
        <v>687</v>
      </c>
      <c r="D1124" t="str">
        <f>INDEX('group info'!B:B,MATCH(sectorLookup!C1124,'group info'!A:A,0))</f>
        <v>STEM: Eng Bio</v>
      </c>
      <c r="E1124" t="s">
        <v>681</v>
      </c>
      <c r="F1124">
        <v>2020</v>
      </c>
      <c r="G1124" t="str">
        <f t="shared" si="17"/>
        <v>STEM: Eng Bio SOC2020</v>
      </c>
    </row>
    <row r="1125" spans="1:7" x14ac:dyDescent="0.35">
      <c r="A1125">
        <v>2125</v>
      </c>
      <c r="B1125" t="str">
        <f>IF(F1125=2020,INDEX(SOC2020_Structure!E:E,MATCH(sectorLookup!A1125,SOC2020_Structure!D:D,0)),INDEX(SOC2010_Structure!E:E,MATCH(sectorLookup!A1125,SOC2010_Structure!D:D,0)))</f>
        <v>Production and process engineers</v>
      </c>
      <c r="C1125" t="s">
        <v>687</v>
      </c>
      <c r="D1125" t="str">
        <f>INDEX('group info'!B:B,MATCH(sectorLookup!C1125,'group info'!A:A,0))</f>
        <v>STEM: Eng Bio</v>
      </c>
      <c r="E1125" t="s">
        <v>681</v>
      </c>
      <c r="F1125">
        <v>2020</v>
      </c>
      <c r="G1125" t="str">
        <f t="shared" si="17"/>
        <v>STEM: Eng Bio SOC2020</v>
      </c>
    </row>
    <row r="1126" spans="1:7" x14ac:dyDescent="0.35">
      <c r="A1126">
        <v>2129</v>
      </c>
      <c r="B1126" t="str">
        <f>IF(F1126=2020,INDEX(SOC2020_Structure!E:E,MATCH(sectorLookup!A1126,SOC2020_Structure!D:D,0)),INDEX(SOC2010_Structure!E:E,MATCH(sectorLookup!A1126,SOC2010_Structure!D:D,0)))</f>
        <v>Engineering professionals n.e.c.</v>
      </c>
      <c r="C1126" t="s">
        <v>687</v>
      </c>
      <c r="D1126" t="str">
        <f>INDEX('group info'!B:B,MATCH(sectorLookup!C1126,'group info'!A:A,0))</f>
        <v>STEM: Eng Bio</v>
      </c>
      <c r="E1126" t="s">
        <v>681</v>
      </c>
      <c r="F1126">
        <v>2020</v>
      </c>
      <c r="G1126" t="str">
        <f t="shared" si="17"/>
        <v>STEM: Eng Bio SOC2020</v>
      </c>
    </row>
    <row r="1127" spans="1:7" x14ac:dyDescent="0.35">
      <c r="A1127">
        <v>2134</v>
      </c>
      <c r="B1127" t="str">
        <f>IF(F1127=2020,INDEX(SOC2020_Structure!E:E,MATCH(sectorLookup!A1127,SOC2020_Structure!D:D,0)),INDEX(SOC2010_Structure!E:E,MATCH(sectorLookup!A1127,SOC2010_Structure!D:D,0)))</f>
        <v>Programmers and software development professionals</v>
      </c>
      <c r="C1127" t="s">
        <v>687</v>
      </c>
      <c r="D1127" t="str">
        <f>INDEX('group info'!B:B,MATCH(sectorLookup!C1127,'group info'!A:A,0))</f>
        <v>STEM: Eng Bio</v>
      </c>
      <c r="E1127" t="s">
        <v>681</v>
      </c>
      <c r="F1127">
        <v>2020</v>
      </c>
      <c r="G1127" t="str">
        <f t="shared" si="17"/>
        <v>STEM: Eng Bio SOC2020</v>
      </c>
    </row>
    <row r="1128" spans="1:7" x14ac:dyDescent="0.35">
      <c r="A1128">
        <v>2481</v>
      </c>
      <c r="B1128" t="str">
        <f>IF(F1128=2020,INDEX(SOC2020_Structure!E:E,MATCH(sectorLookup!A1128,SOC2020_Structure!D:D,0)),INDEX(SOC2010_Structure!E:E,MATCH(sectorLookup!A1128,SOC2010_Structure!D:D,0)))</f>
        <v>Quality control and planning engineers</v>
      </c>
      <c r="C1128" t="s">
        <v>687</v>
      </c>
      <c r="D1128" t="str">
        <f>INDEX('group info'!B:B,MATCH(sectorLookup!C1128,'group info'!A:A,0))</f>
        <v>STEM: Eng Bio</v>
      </c>
      <c r="E1128" t="s">
        <v>681</v>
      </c>
      <c r="F1128">
        <v>2020</v>
      </c>
      <c r="G1128" t="str">
        <f t="shared" si="17"/>
        <v>STEM: Eng Bio SOC2020</v>
      </c>
    </row>
    <row r="1129" spans="1:7" x14ac:dyDescent="0.35">
      <c r="A1129">
        <v>3111</v>
      </c>
      <c r="B1129" t="str">
        <f>IF(F1129=2020,INDEX(SOC2020_Structure!E:E,MATCH(sectorLookup!A1129,SOC2020_Structure!D:D,0)),INDEX(SOC2010_Structure!E:E,MATCH(sectorLookup!A1129,SOC2010_Structure!D:D,0)))</f>
        <v>Laboratory technicians</v>
      </c>
      <c r="C1129" t="s">
        <v>687</v>
      </c>
      <c r="D1129" t="str">
        <f>INDEX('group info'!B:B,MATCH(sectorLookup!C1129,'group info'!A:A,0))</f>
        <v>STEM: Eng Bio</v>
      </c>
      <c r="E1129" t="s">
        <v>681</v>
      </c>
      <c r="F1129">
        <v>2020</v>
      </c>
      <c r="G1129" t="str">
        <f t="shared" si="17"/>
        <v>STEM: Eng Bio SOC2020</v>
      </c>
    </row>
    <row r="1130" spans="1:7" x14ac:dyDescent="0.35">
      <c r="A1130">
        <v>3115</v>
      </c>
      <c r="B1130" t="str">
        <f>IF(F1130=2020,INDEX(SOC2020_Structure!E:E,MATCH(sectorLookup!A1130,SOC2020_Structure!D:D,0)),INDEX(SOC2010_Structure!E:E,MATCH(sectorLookup!A1130,SOC2010_Structure!D:D,0)))</f>
        <v>Quality assurance technicians</v>
      </c>
      <c r="C1130" t="s">
        <v>687</v>
      </c>
      <c r="D1130" t="str">
        <f>INDEX('group info'!B:B,MATCH(sectorLookup!C1130,'group info'!A:A,0))</f>
        <v>STEM: Eng Bio</v>
      </c>
      <c r="E1130" t="s">
        <v>681</v>
      </c>
      <c r="F1130">
        <v>2020</v>
      </c>
      <c r="G1130" t="str">
        <f t="shared" si="17"/>
        <v>STEM: Eng Bio SOC2020</v>
      </c>
    </row>
    <row r="1131" spans="1:7" x14ac:dyDescent="0.35">
      <c r="A1131">
        <v>3116</v>
      </c>
      <c r="B1131" t="str">
        <f>IF(F1131=2020,INDEX(SOC2020_Structure!E:E,MATCH(sectorLookup!A1131,SOC2020_Structure!D:D,0)),INDEX(SOC2010_Structure!E:E,MATCH(sectorLookup!A1131,SOC2010_Structure!D:D,0)))</f>
        <v>Planning, process and production technicians</v>
      </c>
      <c r="C1131" t="s">
        <v>687</v>
      </c>
      <c r="D1131" t="str">
        <f>INDEX('group info'!B:B,MATCH(sectorLookup!C1131,'group info'!A:A,0))</f>
        <v>STEM: Eng Bio</v>
      </c>
      <c r="E1131" t="s">
        <v>681</v>
      </c>
      <c r="F1131">
        <v>2020</v>
      </c>
      <c r="G1131" t="str">
        <f t="shared" si="17"/>
        <v>STEM: Eng Bio SOC2020</v>
      </c>
    </row>
    <row r="1132" spans="1:7" x14ac:dyDescent="0.35">
      <c r="A1132">
        <v>3119</v>
      </c>
      <c r="B1132" t="str">
        <f>IF(F1132=2020,INDEX(SOC2020_Structure!E:E,MATCH(sectorLookup!A1132,SOC2020_Structure!D:D,0)),INDEX(SOC2010_Structure!E:E,MATCH(sectorLookup!A1132,SOC2010_Structure!D:D,0)))</f>
        <v>Science, engineering and production technicians n.e.c.</v>
      </c>
      <c r="C1132" t="s">
        <v>687</v>
      </c>
      <c r="D1132" t="str">
        <f>INDEX('group info'!B:B,MATCH(sectorLookup!C1132,'group info'!A:A,0))</f>
        <v>STEM: Eng Bio</v>
      </c>
      <c r="E1132" t="s">
        <v>681</v>
      </c>
      <c r="F1132">
        <v>2020</v>
      </c>
      <c r="G1132" t="str">
        <f t="shared" si="17"/>
        <v>STEM: Eng Bio SOC2020</v>
      </c>
    </row>
    <row r="1133" spans="1:7" x14ac:dyDescent="0.35">
      <c r="A1133">
        <v>2114</v>
      </c>
      <c r="B1133" t="str">
        <f>IF(F1133=2020,INDEX(SOC2020_Structure!E:E,MATCH(sectorLookup!A1133,SOC2020_Structure!D:D,0)),INDEX(SOC2010_Structure!E:E,MATCH(sectorLookup!A1133,SOC2010_Structure!D:D,0)))</f>
        <v>Physical scientists</v>
      </c>
      <c r="C1133" t="s">
        <v>688</v>
      </c>
      <c r="D1133" t="str">
        <f>INDEX('group info'!B:B,MATCH(sectorLookup!C1133,'group info'!A:A,0))</f>
        <v>STEM: Quantum</v>
      </c>
      <c r="E1133" t="s">
        <v>681</v>
      </c>
      <c r="F1133">
        <v>2020</v>
      </c>
      <c r="G1133" t="str">
        <f t="shared" si="17"/>
        <v>STEM: Quantum SOC2020</v>
      </c>
    </row>
    <row r="1134" spans="1:7" x14ac:dyDescent="0.35">
      <c r="A1134">
        <v>2123</v>
      </c>
      <c r="B1134" t="str">
        <f>IF(F1134=2020,INDEX(SOC2020_Structure!E:E,MATCH(sectorLookup!A1134,SOC2020_Structure!D:D,0)),INDEX(SOC2010_Structure!E:E,MATCH(sectorLookup!A1134,SOC2010_Structure!D:D,0)))</f>
        <v>Electrical engineers</v>
      </c>
      <c r="C1134" t="s">
        <v>688</v>
      </c>
      <c r="D1134" t="str">
        <f>INDEX('group info'!B:B,MATCH(sectorLookup!C1134,'group info'!A:A,0))</f>
        <v>STEM: Quantum</v>
      </c>
      <c r="E1134" t="s">
        <v>681</v>
      </c>
      <c r="F1134">
        <v>2020</v>
      </c>
      <c r="G1134" t="str">
        <f t="shared" si="17"/>
        <v>STEM: Quantum SOC2020</v>
      </c>
    </row>
    <row r="1135" spans="1:7" x14ac:dyDescent="0.35">
      <c r="A1135">
        <v>2125</v>
      </c>
      <c r="B1135" t="str">
        <f>IF(F1135=2020,INDEX(SOC2020_Structure!E:E,MATCH(sectorLookup!A1135,SOC2020_Structure!D:D,0)),INDEX(SOC2010_Structure!E:E,MATCH(sectorLookup!A1135,SOC2010_Structure!D:D,0)))</f>
        <v>Production and process engineers</v>
      </c>
      <c r="C1135" t="s">
        <v>688</v>
      </c>
      <c r="D1135" t="str">
        <f>INDEX('group info'!B:B,MATCH(sectorLookup!C1135,'group info'!A:A,0))</f>
        <v>STEM: Quantum</v>
      </c>
      <c r="E1135" t="s">
        <v>681</v>
      </c>
      <c r="F1135">
        <v>2020</v>
      </c>
      <c r="G1135" t="str">
        <f t="shared" si="17"/>
        <v>STEM: Quantum SOC2020</v>
      </c>
    </row>
    <row r="1136" spans="1:7" x14ac:dyDescent="0.35">
      <c r="A1136">
        <v>2127</v>
      </c>
      <c r="B1136" t="str">
        <f>IF(F1136=2020,INDEX(SOC2020_Structure!E:E,MATCH(sectorLookup!A1136,SOC2020_Structure!D:D,0)),INDEX(SOC2010_Structure!E:E,MATCH(sectorLookup!A1136,SOC2010_Structure!D:D,0)))</f>
        <v>Engineering project managers and project engineers</v>
      </c>
      <c r="C1136" t="s">
        <v>688</v>
      </c>
      <c r="D1136" t="str">
        <f>INDEX('group info'!B:B,MATCH(sectorLookup!C1136,'group info'!A:A,0))</f>
        <v>STEM: Quantum</v>
      </c>
      <c r="E1136" t="s">
        <v>681</v>
      </c>
      <c r="F1136">
        <v>2020</v>
      </c>
      <c r="G1136" t="str">
        <f t="shared" si="17"/>
        <v>STEM: Quantum SOC2020</v>
      </c>
    </row>
    <row r="1137" spans="1:7" x14ac:dyDescent="0.35">
      <c r="A1137">
        <v>2133</v>
      </c>
      <c r="B1137" t="str">
        <f>IF(F1137=2020,INDEX(SOC2020_Structure!E:E,MATCH(sectorLookup!A1137,SOC2020_Structure!D:D,0)),INDEX(SOC2010_Structure!E:E,MATCH(sectorLookup!A1137,SOC2010_Structure!D:D,0)))</f>
        <v>IT business analysts, architects and systems designers</v>
      </c>
      <c r="C1137" t="s">
        <v>688</v>
      </c>
      <c r="D1137" t="str">
        <f>INDEX('group info'!B:B,MATCH(sectorLookup!C1137,'group info'!A:A,0))</f>
        <v>STEM: Quantum</v>
      </c>
      <c r="E1137" t="s">
        <v>681</v>
      </c>
      <c r="F1137">
        <v>2020</v>
      </c>
      <c r="G1137" t="str">
        <f t="shared" si="17"/>
        <v>STEM: Quantum SOC2020</v>
      </c>
    </row>
    <row r="1138" spans="1:7" x14ac:dyDescent="0.35">
      <c r="A1138">
        <v>2134</v>
      </c>
      <c r="B1138" t="str">
        <f>IF(F1138=2020,INDEX(SOC2020_Structure!E:E,MATCH(sectorLookup!A1138,SOC2020_Structure!D:D,0)),INDEX(SOC2010_Structure!E:E,MATCH(sectorLookup!A1138,SOC2010_Structure!D:D,0)))</f>
        <v>Programmers and software development professionals</v>
      </c>
      <c r="C1138" t="s">
        <v>688</v>
      </c>
      <c r="D1138" t="str">
        <f>INDEX('group info'!B:B,MATCH(sectorLookup!C1138,'group info'!A:A,0))</f>
        <v>STEM: Quantum</v>
      </c>
      <c r="E1138" t="s">
        <v>681</v>
      </c>
      <c r="F1138">
        <v>2020</v>
      </c>
      <c r="G1138" t="str">
        <f t="shared" si="17"/>
        <v>STEM: Quantum SOC2020</v>
      </c>
    </row>
    <row r="1139" spans="1:7" x14ac:dyDescent="0.35">
      <c r="A1139">
        <v>2161</v>
      </c>
      <c r="B1139" t="str">
        <f>IF(F1139=2020,INDEX(SOC2020_Structure!E:E,MATCH(sectorLookup!A1139,SOC2020_Structure!D:D,0)),INDEX(SOC2010_Structure!E:E,MATCH(sectorLookup!A1139,SOC2010_Structure!D:D,0)))</f>
        <v>Research and development (R&amp;D) managers</v>
      </c>
      <c r="C1139" t="s">
        <v>688</v>
      </c>
      <c r="D1139" t="str">
        <f>INDEX('group info'!B:B,MATCH(sectorLookup!C1139,'group info'!A:A,0))</f>
        <v>STEM: Quantum</v>
      </c>
      <c r="E1139" t="s">
        <v>681</v>
      </c>
      <c r="F1139">
        <v>2020</v>
      </c>
      <c r="G1139" t="str">
        <f t="shared" si="17"/>
        <v>STEM: Quantum SOC2020</v>
      </c>
    </row>
    <row r="1140" spans="1:7" x14ac:dyDescent="0.35">
      <c r="A1140">
        <v>3111</v>
      </c>
      <c r="B1140" t="str">
        <f>IF(F1140=2020,INDEX(SOC2020_Structure!E:E,MATCH(sectorLookup!A1140,SOC2020_Structure!D:D,0)),INDEX(SOC2010_Structure!E:E,MATCH(sectorLookup!A1140,SOC2010_Structure!D:D,0)))</f>
        <v>Laboratory technicians</v>
      </c>
      <c r="C1140" t="s">
        <v>688</v>
      </c>
      <c r="D1140" t="str">
        <f>INDEX('group info'!B:B,MATCH(sectorLookup!C1140,'group info'!A:A,0))</f>
        <v>STEM: Quantum</v>
      </c>
      <c r="E1140" t="s">
        <v>681</v>
      </c>
      <c r="F1140">
        <v>2020</v>
      </c>
      <c r="G1140" t="str">
        <f t="shared" si="17"/>
        <v>STEM: Quantum SOC2020</v>
      </c>
    </row>
    <row r="1141" spans="1:7" x14ac:dyDescent="0.35">
      <c r="A1141">
        <v>3112</v>
      </c>
      <c r="B1141" t="str">
        <f>IF(F1141=2020,INDEX(SOC2020_Structure!E:E,MATCH(sectorLookup!A1141,SOC2020_Structure!D:D,0)),INDEX(SOC2010_Structure!E:E,MATCH(sectorLookup!A1141,SOC2010_Structure!D:D,0)))</f>
        <v>Electrical and electronics technicians</v>
      </c>
      <c r="C1141" t="s">
        <v>688</v>
      </c>
      <c r="D1141" t="str">
        <f>INDEX('group info'!B:B,MATCH(sectorLookup!C1141,'group info'!A:A,0))</f>
        <v>STEM: Quantum</v>
      </c>
      <c r="E1141" t="s">
        <v>681</v>
      </c>
      <c r="F1141">
        <v>2020</v>
      </c>
      <c r="G1141" t="str">
        <f t="shared" si="17"/>
        <v>STEM: Quantum SOC2020</v>
      </c>
    </row>
    <row r="1142" spans="1:7" x14ac:dyDescent="0.35">
      <c r="A1142">
        <v>3113</v>
      </c>
      <c r="B1142" t="str">
        <f>IF(F1142=2020,INDEX(SOC2020_Structure!E:E,MATCH(sectorLookup!A1142,SOC2020_Structure!D:D,0)),INDEX(SOC2010_Structure!E:E,MATCH(sectorLookup!A1142,SOC2010_Structure!D:D,0)))</f>
        <v>Engineering technicians</v>
      </c>
      <c r="C1142" t="s">
        <v>688</v>
      </c>
      <c r="D1142" t="str">
        <f>INDEX('group info'!B:B,MATCH(sectorLookup!C1142,'group info'!A:A,0))</f>
        <v>STEM: Quantum</v>
      </c>
      <c r="E1142" t="s">
        <v>681</v>
      </c>
      <c r="F1142">
        <v>2020</v>
      </c>
      <c r="G1142" t="str">
        <f t="shared" si="17"/>
        <v>STEM: Quantum SOC2020</v>
      </c>
    </row>
    <row r="1143" spans="1:7" x14ac:dyDescent="0.35">
      <c r="A1143">
        <v>2124</v>
      </c>
      <c r="B1143" t="str">
        <f>IF(F1143=2020,INDEX(SOC2020_Structure!E:E,MATCH(sectorLookup!A1143,SOC2020_Structure!D:D,0)),INDEX(SOC2010_Structure!E:E,MATCH(sectorLookup!A1143,SOC2010_Structure!D:D,0)))</f>
        <v>Electronics engineers</v>
      </c>
      <c r="C1143" t="s">
        <v>689</v>
      </c>
      <c r="D1143" t="str">
        <f>INDEX('group info'!B:B,MATCH(sectorLookup!C1143,'group info'!A:A,0))</f>
        <v>STEM: Semiconductors</v>
      </c>
      <c r="E1143" t="s">
        <v>681</v>
      </c>
      <c r="F1143">
        <v>2020</v>
      </c>
      <c r="G1143" t="str">
        <f t="shared" si="17"/>
        <v>STEM: Semiconductors SOC2020</v>
      </c>
    </row>
    <row r="1144" spans="1:7" x14ac:dyDescent="0.35">
      <c r="A1144">
        <v>2125</v>
      </c>
      <c r="B1144" t="str">
        <f>IF(F1144=2020,INDEX(SOC2020_Structure!E:E,MATCH(sectorLookup!A1144,SOC2020_Structure!D:D,0)),INDEX(SOC2010_Structure!E:E,MATCH(sectorLookup!A1144,SOC2010_Structure!D:D,0)))</f>
        <v>Production and process engineers</v>
      </c>
      <c r="C1144" t="s">
        <v>689</v>
      </c>
      <c r="D1144" t="str">
        <f>INDEX('group info'!B:B,MATCH(sectorLookup!C1144,'group info'!A:A,0))</f>
        <v>STEM: Semiconductors</v>
      </c>
      <c r="E1144" t="s">
        <v>681</v>
      </c>
      <c r="F1144">
        <v>2020</v>
      </c>
      <c r="G1144" t="str">
        <f t="shared" si="17"/>
        <v>STEM: Semiconductors SOC2020</v>
      </c>
    </row>
    <row r="1145" spans="1:7" x14ac:dyDescent="0.35">
      <c r="A1145">
        <v>2129</v>
      </c>
      <c r="B1145" t="str">
        <f>IF(F1145=2020,INDEX(SOC2020_Structure!E:E,MATCH(sectorLookup!A1145,SOC2020_Structure!D:D,0)),INDEX(SOC2010_Structure!E:E,MATCH(sectorLookup!A1145,SOC2010_Structure!D:D,0)))</f>
        <v>Engineering professionals n.e.c.</v>
      </c>
      <c r="C1145" t="s">
        <v>689</v>
      </c>
      <c r="D1145" t="str">
        <f>INDEX('group info'!B:B,MATCH(sectorLookup!C1145,'group info'!A:A,0))</f>
        <v>STEM: Semiconductors</v>
      </c>
      <c r="E1145" t="s">
        <v>681</v>
      </c>
      <c r="F1145">
        <v>2020</v>
      </c>
      <c r="G1145" t="str">
        <f t="shared" si="17"/>
        <v>STEM: Semiconductors SOC2020</v>
      </c>
    </row>
    <row r="1146" spans="1:7" x14ac:dyDescent="0.35">
      <c r="A1146">
        <v>3111</v>
      </c>
      <c r="B1146" t="str">
        <f>IF(F1146=2020,INDEX(SOC2020_Structure!E:E,MATCH(sectorLookup!A1146,SOC2020_Structure!D:D,0)),INDEX(SOC2010_Structure!E:E,MATCH(sectorLookup!A1146,SOC2010_Structure!D:D,0)))</f>
        <v>Laboratory technicians</v>
      </c>
      <c r="C1146" t="s">
        <v>689</v>
      </c>
      <c r="D1146" t="str">
        <f>INDEX('group info'!B:B,MATCH(sectorLookup!C1146,'group info'!A:A,0))</f>
        <v>STEM: Semiconductors</v>
      </c>
      <c r="E1146" t="s">
        <v>681</v>
      </c>
      <c r="F1146">
        <v>2020</v>
      </c>
      <c r="G1146" t="str">
        <f t="shared" si="17"/>
        <v>STEM: Semiconductors SOC2020</v>
      </c>
    </row>
    <row r="1147" spans="1:7" x14ac:dyDescent="0.35">
      <c r="A1147">
        <v>3113</v>
      </c>
      <c r="B1147" t="str">
        <f>IF(F1147=2020,INDEX(SOC2020_Structure!E:E,MATCH(sectorLookup!A1147,SOC2020_Structure!D:D,0)),INDEX(SOC2010_Structure!E:E,MATCH(sectorLookup!A1147,SOC2010_Structure!D:D,0)))</f>
        <v>Engineering technicians</v>
      </c>
      <c r="C1147" t="s">
        <v>689</v>
      </c>
      <c r="D1147" t="str">
        <f>INDEX('group info'!B:B,MATCH(sectorLookup!C1147,'group info'!A:A,0))</f>
        <v>STEM: Semiconductors</v>
      </c>
      <c r="E1147" t="s">
        <v>681</v>
      </c>
      <c r="F1147">
        <v>2020</v>
      </c>
      <c r="G1147" t="str">
        <f t="shared" si="17"/>
        <v>STEM: Semiconductors SOC2020</v>
      </c>
    </row>
    <row r="1148" spans="1:7" x14ac:dyDescent="0.35">
      <c r="A1148">
        <v>3116</v>
      </c>
      <c r="B1148" t="str">
        <f>IF(F1148=2020,INDEX(SOC2020_Structure!E:E,MATCH(sectorLookup!A1148,SOC2020_Structure!D:D,0)),INDEX(SOC2010_Structure!E:E,MATCH(sectorLookup!A1148,SOC2010_Structure!D:D,0)))</f>
        <v>Planning, process and production technicians</v>
      </c>
      <c r="C1148" t="s">
        <v>689</v>
      </c>
      <c r="D1148" t="str">
        <f>INDEX('group info'!B:B,MATCH(sectorLookup!C1148,'group info'!A:A,0))</f>
        <v>STEM: Semiconductors</v>
      </c>
      <c r="E1148" t="s">
        <v>681</v>
      </c>
      <c r="F1148">
        <v>2020</v>
      </c>
      <c r="G1148" t="str">
        <f t="shared" si="17"/>
        <v>STEM: Semiconductors SOC2020</v>
      </c>
    </row>
    <row r="1149" spans="1:7" x14ac:dyDescent="0.35">
      <c r="A1149">
        <v>3119</v>
      </c>
      <c r="B1149" t="str">
        <f>IF(F1149=2020,INDEX(SOC2020_Structure!E:E,MATCH(sectorLookup!A1149,SOC2020_Structure!D:D,0)),INDEX(SOC2010_Structure!E:E,MATCH(sectorLookup!A1149,SOC2010_Structure!D:D,0)))</f>
        <v>Science, engineering and production technicians n.e.c.</v>
      </c>
      <c r="C1149" t="s">
        <v>689</v>
      </c>
      <c r="D1149" t="str">
        <f>INDEX('group info'!B:B,MATCH(sectorLookup!C1149,'group info'!A:A,0))</f>
        <v>STEM: Semiconductors</v>
      </c>
      <c r="E1149" t="s">
        <v>681</v>
      </c>
      <c r="F1149">
        <v>2020</v>
      </c>
      <c r="G1149" t="str">
        <f t="shared" si="17"/>
        <v>STEM: Semiconductors SOC2020</v>
      </c>
    </row>
    <row r="1150" spans="1:7" x14ac:dyDescent="0.35">
      <c r="A1150">
        <v>8119</v>
      </c>
      <c r="B1150" t="str">
        <f>IF(F1150=2020,INDEX(SOC2020_Structure!E:E,MATCH(sectorLookup!A1150,SOC2020_Structure!D:D,0)),INDEX(SOC2010_Structure!E:E,MATCH(sectorLookup!A1150,SOC2010_Structure!D:D,0)))</f>
        <v>Process operatives n.e.c.</v>
      </c>
      <c r="C1150" t="s">
        <v>689</v>
      </c>
      <c r="D1150" t="str">
        <f>INDEX('group info'!B:B,MATCH(sectorLookup!C1150,'group info'!A:A,0))</f>
        <v>STEM: Semiconductors</v>
      </c>
      <c r="E1150" t="s">
        <v>681</v>
      </c>
      <c r="F1150">
        <v>2020</v>
      </c>
      <c r="G1150" t="str">
        <f t="shared" si="17"/>
        <v>STEM: Semiconductors SOC2020</v>
      </c>
    </row>
    <row r="1151" spans="1:7" x14ac:dyDescent="0.35">
      <c r="A1151">
        <v>8139</v>
      </c>
      <c r="B1151" t="str">
        <f>IF(F1151=2020,INDEX(SOC2020_Structure!E:E,MATCH(sectorLookup!A1151,SOC2020_Structure!D:D,0)),INDEX(SOC2010_Structure!E:E,MATCH(sectorLookup!A1151,SOC2010_Structure!D:D,0)))</f>
        <v>Plant and machine operatives n.e.c.</v>
      </c>
      <c r="C1151" t="s">
        <v>689</v>
      </c>
      <c r="D1151" t="str">
        <f>INDEX('group info'!B:B,MATCH(sectorLookup!C1151,'group info'!A:A,0))</f>
        <v>STEM: Semiconductors</v>
      </c>
      <c r="E1151" t="s">
        <v>681</v>
      </c>
      <c r="F1151">
        <v>2020</v>
      </c>
      <c r="G1151" t="str">
        <f t="shared" si="17"/>
        <v>STEM: Semiconductors SOC2020</v>
      </c>
    </row>
    <row r="1152" spans="1:7" x14ac:dyDescent="0.35">
      <c r="A1152">
        <v>8143</v>
      </c>
      <c r="B1152" t="str">
        <f>IF(F1152=2020,INDEX(SOC2020_Structure!E:E,MATCH(sectorLookup!A1152,SOC2020_Structure!D:D,0)),INDEX(SOC2010_Structure!E:E,MATCH(sectorLookup!A1152,SOC2010_Structure!D:D,0)))</f>
        <v>Routine inspectors and testers</v>
      </c>
      <c r="C1152" t="s">
        <v>689</v>
      </c>
      <c r="D1152" t="str">
        <f>INDEX('group info'!B:B,MATCH(sectorLookup!C1152,'group info'!A:A,0))</f>
        <v>STEM: Semiconductors</v>
      </c>
      <c r="E1152" t="s">
        <v>681</v>
      </c>
      <c r="F1152">
        <v>2020</v>
      </c>
      <c r="G1152" t="str">
        <f t="shared" si="17"/>
        <v>STEM: Semiconductors SOC2020</v>
      </c>
    </row>
    <row r="1153" spans="1:7" x14ac:dyDescent="0.35">
      <c r="A1153">
        <v>2123</v>
      </c>
      <c r="B1153" t="str">
        <f>IF(F1153=2020,INDEX(SOC2020_Structure!E:E,MATCH(sectorLookup!A1153,SOC2020_Structure!D:D,0)),INDEX(SOC2010_Structure!E:E,MATCH(sectorLookup!A1153,SOC2010_Structure!D:D,0)))</f>
        <v>Electrical engineers</v>
      </c>
      <c r="C1153" t="s">
        <v>690</v>
      </c>
      <c r="D1153" t="str">
        <f>INDEX('group info'!B:B,MATCH(sectorLookup!C1153,'group info'!A:A,0))</f>
        <v>STEM: Future Telecoms</v>
      </c>
      <c r="E1153" t="s">
        <v>681</v>
      </c>
      <c r="F1153">
        <v>2020</v>
      </c>
      <c r="G1153" t="str">
        <f t="shared" si="17"/>
        <v>STEM: Future Telecoms SOC2020</v>
      </c>
    </row>
    <row r="1154" spans="1:7" x14ac:dyDescent="0.35">
      <c r="A1154">
        <v>2124</v>
      </c>
      <c r="B1154" t="str">
        <f>IF(F1154=2020,INDEX(SOC2020_Structure!E:E,MATCH(sectorLookup!A1154,SOC2020_Structure!D:D,0)),INDEX(SOC2010_Structure!E:E,MATCH(sectorLookup!A1154,SOC2010_Structure!D:D,0)))</f>
        <v>Electronics engineers</v>
      </c>
      <c r="C1154" t="s">
        <v>690</v>
      </c>
      <c r="D1154" t="str">
        <f>INDEX('group info'!B:B,MATCH(sectorLookup!C1154,'group info'!A:A,0))</f>
        <v>STEM: Future Telecoms</v>
      </c>
      <c r="E1154" t="s">
        <v>681</v>
      </c>
      <c r="F1154">
        <v>2020</v>
      </c>
      <c r="G1154" t="str">
        <f t="shared" si="17"/>
        <v>STEM: Future Telecoms SOC2020</v>
      </c>
    </row>
    <row r="1155" spans="1:7" x14ac:dyDescent="0.35">
      <c r="A1155">
        <v>2133</v>
      </c>
      <c r="B1155" t="str">
        <f>IF(F1155=2020,INDEX(SOC2020_Structure!E:E,MATCH(sectorLookup!A1155,SOC2020_Structure!D:D,0)),INDEX(SOC2010_Structure!E:E,MATCH(sectorLookup!A1155,SOC2010_Structure!D:D,0)))</f>
        <v>IT business analysts, architects and systems designers</v>
      </c>
      <c r="C1155" t="s">
        <v>690</v>
      </c>
      <c r="D1155" t="str">
        <f>INDEX('group info'!B:B,MATCH(sectorLookup!C1155,'group info'!A:A,0))</f>
        <v>STEM: Future Telecoms</v>
      </c>
      <c r="E1155" t="s">
        <v>681</v>
      </c>
      <c r="F1155">
        <v>2020</v>
      </c>
      <c r="G1155" t="str">
        <f t="shared" ref="G1155:G1165" si="18">D1155&amp;" SOC"&amp;F1155</f>
        <v>STEM: Future Telecoms SOC2020</v>
      </c>
    </row>
    <row r="1156" spans="1:7" x14ac:dyDescent="0.35">
      <c r="A1156">
        <v>2134</v>
      </c>
      <c r="B1156" t="str">
        <f>IF(F1156=2020,INDEX(SOC2020_Structure!E:E,MATCH(sectorLookup!A1156,SOC2020_Structure!D:D,0)),INDEX(SOC2010_Structure!E:E,MATCH(sectorLookup!A1156,SOC2010_Structure!D:D,0)))</f>
        <v>Programmers and software development professionals</v>
      </c>
      <c r="C1156" t="s">
        <v>690</v>
      </c>
      <c r="D1156" t="str">
        <f>INDEX('group info'!B:B,MATCH(sectorLookup!C1156,'group info'!A:A,0))</f>
        <v>STEM: Future Telecoms</v>
      </c>
      <c r="E1156" t="s">
        <v>681</v>
      </c>
      <c r="F1156">
        <v>2020</v>
      </c>
      <c r="G1156" t="str">
        <f t="shared" si="18"/>
        <v>STEM: Future Telecoms SOC2020</v>
      </c>
    </row>
    <row r="1157" spans="1:7" x14ac:dyDescent="0.35">
      <c r="A1157">
        <v>2137</v>
      </c>
      <c r="B1157" t="str">
        <f>IF(F1157=2020,INDEX(SOC2020_Structure!E:E,MATCH(sectorLookup!A1157,SOC2020_Structure!D:D,0)),INDEX(SOC2010_Structure!E:E,MATCH(sectorLookup!A1157,SOC2010_Structure!D:D,0)))</f>
        <v>IT network professionals</v>
      </c>
      <c r="C1157" t="s">
        <v>690</v>
      </c>
      <c r="D1157" t="str">
        <f>INDEX('group info'!B:B,MATCH(sectorLookup!C1157,'group info'!A:A,0))</f>
        <v>STEM: Future Telecoms</v>
      </c>
      <c r="E1157" t="s">
        <v>681</v>
      </c>
      <c r="F1157">
        <v>2020</v>
      </c>
      <c r="G1157" t="str">
        <f t="shared" si="18"/>
        <v>STEM: Future Telecoms SOC2020</v>
      </c>
    </row>
    <row r="1158" spans="1:7" x14ac:dyDescent="0.35">
      <c r="A1158">
        <v>2139</v>
      </c>
      <c r="B1158" t="str">
        <f>IF(F1158=2020,INDEX(SOC2020_Structure!E:E,MATCH(sectorLookup!A1158,SOC2020_Structure!D:D,0)),INDEX(SOC2010_Structure!E:E,MATCH(sectorLookup!A1158,SOC2010_Structure!D:D,0)))</f>
        <v>Information technology professionals n.e.c.</v>
      </c>
      <c r="C1158" t="s">
        <v>690</v>
      </c>
      <c r="D1158" t="str">
        <f>INDEX('group info'!B:B,MATCH(sectorLookup!C1158,'group info'!A:A,0))</f>
        <v>STEM: Future Telecoms</v>
      </c>
      <c r="E1158" t="s">
        <v>681</v>
      </c>
      <c r="F1158">
        <v>2020</v>
      </c>
      <c r="G1158" t="str">
        <f t="shared" si="18"/>
        <v>STEM: Future Telecoms SOC2020</v>
      </c>
    </row>
    <row r="1159" spans="1:7" x14ac:dyDescent="0.35">
      <c r="A1159">
        <v>2161</v>
      </c>
      <c r="B1159" t="str">
        <f>IF(F1159=2020,INDEX(SOC2020_Structure!E:E,MATCH(sectorLookup!A1159,SOC2020_Structure!D:D,0)),INDEX(SOC2010_Structure!E:E,MATCH(sectorLookup!A1159,SOC2010_Structure!D:D,0)))</f>
        <v>Research and development (R&amp;D) managers</v>
      </c>
      <c r="C1159" t="s">
        <v>690</v>
      </c>
      <c r="D1159" t="str">
        <f>INDEX('group info'!B:B,MATCH(sectorLookup!C1159,'group info'!A:A,0))</f>
        <v>STEM: Future Telecoms</v>
      </c>
      <c r="E1159" t="s">
        <v>681</v>
      </c>
      <c r="F1159">
        <v>2020</v>
      </c>
      <c r="G1159" t="str">
        <f t="shared" si="18"/>
        <v>STEM: Future Telecoms SOC2020</v>
      </c>
    </row>
    <row r="1160" spans="1:7" x14ac:dyDescent="0.35">
      <c r="A1160">
        <v>3112</v>
      </c>
      <c r="B1160" t="str">
        <f>IF(F1160=2020,INDEX(SOC2020_Structure!E:E,MATCH(sectorLookup!A1160,SOC2020_Structure!D:D,0)),INDEX(SOC2010_Structure!E:E,MATCH(sectorLookup!A1160,SOC2010_Structure!D:D,0)))</f>
        <v>Electrical and electronics technicians</v>
      </c>
      <c r="C1160" t="s">
        <v>690</v>
      </c>
      <c r="D1160" t="str">
        <f>INDEX('group info'!B:B,MATCH(sectorLookup!C1160,'group info'!A:A,0))</f>
        <v>STEM: Future Telecoms</v>
      </c>
      <c r="E1160" t="s">
        <v>681</v>
      </c>
      <c r="F1160">
        <v>2020</v>
      </c>
      <c r="G1160" t="str">
        <f t="shared" si="18"/>
        <v>STEM: Future Telecoms SOC2020</v>
      </c>
    </row>
    <row r="1161" spans="1:7" x14ac:dyDescent="0.35">
      <c r="A1161">
        <v>3119</v>
      </c>
      <c r="B1161" t="str">
        <f>IF(F1161=2020,INDEX(SOC2020_Structure!E:E,MATCH(sectorLookup!A1161,SOC2020_Structure!D:D,0)),INDEX(SOC2010_Structure!E:E,MATCH(sectorLookup!A1161,SOC2010_Structure!D:D,0)))</f>
        <v>Science, engineering and production technicians n.e.c.</v>
      </c>
      <c r="C1161" t="s">
        <v>690</v>
      </c>
      <c r="D1161" t="str">
        <f>INDEX('group info'!B:B,MATCH(sectorLookup!C1161,'group info'!A:A,0))</f>
        <v>STEM: Future Telecoms</v>
      </c>
      <c r="E1161" t="s">
        <v>681</v>
      </c>
      <c r="F1161">
        <v>2020</v>
      </c>
      <c r="G1161" t="str">
        <f t="shared" si="18"/>
        <v>STEM: Future Telecoms SOC2020</v>
      </c>
    </row>
    <row r="1162" spans="1:7" x14ac:dyDescent="0.35">
      <c r="A1162">
        <v>3544</v>
      </c>
      <c r="B1162" t="str">
        <f>IF(F1162=2020,INDEX(SOC2020_Structure!E:E,MATCH(sectorLookup!A1162,SOC2020_Structure!D:D,0)),INDEX(SOC2010_Structure!E:E,MATCH(sectorLookup!A1162,SOC2010_Structure!D:D,0)))</f>
        <v>Data analysts</v>
      </c>
      <c r="C1162" t="s">
        <v>690</v>
      </c>
      <c r="D1162" t="str">
        <f>INDEX('group info'!B:B,MATCH(sectorLookup!C1162,'group info'!A:A,0))</f>
        <v>STEM: Future Telecoms</v>
      </c>
      <c r="E1162" t="s">
        <v>681</v>
      </c>
      <c r="F1162">
        <v>2020</v>
      </c>
      <c r="G1162" t="str">
        <f t="shared" si="18"/>
        <v>STEM: Future Telecoms SOC2020</v>
      </c>
    </row>
    <row r="1163" spans="1:7" x14ac:dyDescent="0.35">
      <c r="A1163">
        <v>3581</v>
      </c>
      <c r="B1163" t="str">
        <f>IF(F1163=2020,INDEX(SOC2020_Structure!E:E,MATCH(sectorLookup!A1163,SOC2020_Structure!D:D,0)),INDEX(SOC2010_Structure!E:E,MATCH(sectorLookup!A1163,SOC2010_Structure!D:D,0)))</f>
        <v>Inspectors of standards and regulations</v>
      </c>
      <c r="C1163" t="s">
        <v>690</v>
      </c>
      <c r="D1163" t="str">
        <f>INDEX('group info'!B:B,MATCH(sectorLookup!C1163,'group info'!A:A,0))</f>
        <v>STEM: Future Telecoms</v>
      </c>
      <c r="E1163" t="s">
        <v>681</v>
      </c>
      <c r="F1163">
        <v>2020</v>
      </c>
      <c r="G1163" t="str">
        <f t="shared" si="18"/>
        <v>STEM: Future Telecoms SOC2020</v>
      </c>
    </row>
    <row r="1164" spans="1:7" x14ac:dyDescent="0.35">
      <c r="A1164">
        <v>5242</v>
      </c>
      <c r="B1164" t="str">
        <f>IF(F1164=2020,INDEX(SOC2020_Structure!E:E,MATCH(sectorLookup!A1164,SOC2020_Structure!D:D,0)),INDEX(SOC2010_Structure!E:E,MATCH(sectorLookup!A1164,SOC2010_Structure!D:D,0)))</f>
        <v>Telecoms and related network installers and repairers</v>
      </c>
      <c r="C1164" t="s">
        <v>690</v>
      </c>
      <c r="D1164" t="str">
        <f>INDEX('group info'!B:B,MATCH(sectorLookup!C1164,'group info'!A:A,0))</f>
        <v>STEM: Future Telecoms</v>
      </c>
      <c r="E1164" t="s">
        <v>681</v>
      </c>
      <c r="F1164">
        <v>2020</v>
      </c>
      <c r="G1164" t="str">
        <f t="shared" si="18"/>
        <v>STEM: Future Telecoms SOC2020</v>
      </c>
    </row>
    <row r="1165" spans="1:7" x14ac:dyDescent="0.35">
      <c r="A1165">
        <v>2111</v>
      </c>
      <c r="B1165" t="str">
        <f>IF(F1165=2020,INDEX(SOC2020_Structure!E:E,MATCH(sectorLookup!A1165,SOC2020_Structure!D:D,0)),INDEX(SOC2010_Structure!E:E,MATCH(sectorLookup!A1165,SOC2010_Structure!D:D,0)))</f>
        <v>Chemical scientists</v>
      </c>
      <c r="C1165" t="s">
        <v>685</v>
      </c>
      <c r="D1165" t="str">
        <f>INDEX('group info'!B:B,MATCH(sectorLookup!C1165,'group info'!A:A,0))</f>
        <v>STEM: Critical technology key occupations</v>
      </c>
      <c r="E1165" t="s">
        <v>681</v>
      </c>
      <c r="F1165">
        <v>2010</v>
      </c>
      <c r="G1165" t="str">
        <f t="shared" si="18"/>
        <v>STEM: Critical technology key occupations SOC2010</v>
      </c>
    </row>
    <row r="1166" spans="1:7" x14ac:dyDescent="0.35">
      <c r="A1166">
        <v>2112</v>
      </c>
      <c r="B1166" t="str">
        <f>IF(F1166=2020,INDEX(SOC2020_Structure!E:E,MATCH(sectorLookup!A1166,SOC2020_Structure!D:D,0)),INDEX(SOC2010_Structure!E:E,MATCH(sectorLookup!A1166,SOC2010_Structure!D:D,0)))</f>
        <v>Biological scientists and biochemists</v>
      </c>
      <c r="C1166" t="s">
        <v>685</v>
      </c>
      <c r="D1166" t="str">
        <f>INDEX('group info'!B:B,MATCH(sectorLookup!C1166,'group info'!A:A,0))</f>
        <v>STEM: Critical technology key occupations</v>
      </c>
      <c r="E1166" t="s">
        <v>681</v>
      </c>
      <c r="F1166">
        <v>2010</v>
      </c>
      <c r="G1166" t="str">
        <f t="shared" ref="G1166:G1192" si="19">D1166&amp;" SOC"&amp;F1166</f>
        <v>STEM: Critical technology key occupations SOC2010</v>
      </c>
    </row>
    <row r="1167" spans="1:7" x14ac:dyDescent="0.35">
      <c r="A1167">
        <v>2113</v>
      </c>
      <c r="B1167" t="str">
        <f>IF(F1167=2020,INDEX(SOC2020_Structure!E:E,MATCH(sectorLookup!A1167,SOC2020_Structure!D:D,0)),INDEX(SOC2010_Structure!E:E,MATCH(sectorLookup!A1167,SOC2010_Structure!D:D,0)))</f>
        <v>Physical scientists</v>
      </c>
      <c r="C1167" t="s">
        <v>685</v>
      </c>
      <c r="D1167" t="str">
        <f>INDEX('group info'!B:B,MATCH(sectorLookup!C1167,'group info'!A:A,0))</f>
        <v>STEM: Critical technology key occupations</v>
      </c>
      <c r="E1167" t="s">
        <v>681</v>
      </c>
      <c r="F1167">
        <v>2010</v>
      </c>
      <c r="G1167" t="str">
        <f t="shared" si="19"/>
        <v>STEM: Critical technology key occupations SOC2010</v>
      </c>
    </row>
    <row r="1168" spans="1:7" x14ac:dyDescent="0.35">
      <c r="A1168">
        <v>2123</v>
      </c>
      <c r="B1168" t="str">
        <f>IF(F1168=2020,INDEX(SOC2020_Structure!E:E,MATCH(sectorLookup!A1168,SOC2020_Structure!D:D,0)),INDEX(SOC2010_Structure!E:E,MATCH(sectorLookup!A1168,SOC2010_Structure!D:D,0)))</f>
        <v>Electrical engineers</v>
      </c>
      <c r="C1168" t="s">
        <v>685</v>
      </c>
      <c r="D1168" t="str">
        <f>INDEX('group info'!B:B,MATCH(sectorLookup!C1168,'group info'!A:A,0))</f>
        <v>STEM: Critical technology key occupations</v>
      </c>
      <c r="E1168" t="s">
        <v>681</v>
      </c>
      <c r="F1168">
        <v>2010</v>
      </c>
      <c r="G1168" t="str">
        <f t="shared" si="19"/>
        <v>STEM: Critical technology key occupations SOC2010</v>
      </c>
    </row>
    <row r="1169" spans="1:7" x14ac:dyDescent="0.35">
      <c r="A1169">
        <v>2124</v>
      </c>
      <c r="B1169" t="str">
        <f>IF(F1169=2020,INDEX(SOC2020_Structure!E:E,MATCH(sectorLookup!A1169,SOC2020_Structure!D:D,0)),INDEX(SOC2010_Structure!E:E,MATCH(sectorLookup!A1169,SOC2010_Structure!D:D,0)))</f>
        <v>Electronics engineers</v>
      </c>
      <c r="C1169" t="s">
        <v>685</v>
      </c>
      <c r="D1169" t="str">
        <f>INDEX('group info'!B:B,MATCH(sectorLookup!C1169,'group info'!A:A,0))</f>
        <v>STEM: Critical technology key occupations</v>
      </c>
      <c r="E1169" t="s">
        <v>681</v>
      </c>
      <c r="F1169">
        <v>2010</v>
      </c>
      <c r="G1169" t="str">
        <f t="shared" si="19"/>
        <v>STEM: Critical technology key occupations SOC2010</v>
      </c>
    </row>
    <row r="1170" spans="1:7" x14ac:dyDescent="0.35">
      <c r="A1170">
        <v>2126</v>
      </c>
      <c r="B1170" t="str">
        <f>IF(F1170=2020,INDEX(SOC2020_Structure!E:E,MATCH(sectorLookup!A1170,SOC2020_Structure!D:D,0)),INDEX(SOC2010_Structure!E:E,MATCH(sectorLookup!A1170,SOC2010_Structure!D:D,0)))</f>
        <v>Design and development engineers</v>
      </c>
      <c r="C1170" t="s">
        <v>685</v>
      </c>
      <c r="D1170" t="str">
        <f>INDEX('group info'!B:B,MATCH(sectorLookup!C1170,'group info'!A:A,0))</f>
        <v>STEM: Critical technology key occupations</v>
      </c>
      <c r="E1170" t="s">
        <v>681</v>
      </c>
      <c r="F1170">
        <v>2010</v>
      </c>
      <c r="G1170" t="str">
        <f t="shared" si="19"/>
        <v>STEM: Critical technology key occupations SOC2010</v>
      </c>
    </row>
    <row r="1171" spans="1:7" x14ac:dyDescent="0.35">
      <c r="A1171">
        <v>2127</v>
      </c>
      <c r="B1171" t="str">
        <f>IF(F1171=2020,INDEX(SOC2020_Structure!E:E,MATCH(sectorLookup!A1171,SOC2020_Structure!D:D,0)),INDEX(SOC2010_Structure!E:E,MATCH(sectorLookup!A1171,SOC2010_Structure!D:D,0)))</f>
        <v>Production and process engineers</v>
      </c>
      <c r="C1171" t="s">
        <v>685</v>
      </c>
      <c r="D1171" t="str">
        <f>INDEX('group info'!B:B,MATCH(sectorLookup!C1171,'group info'!A:A,0))</f>
        <v>STEM: Critical technology key occupations</v>
      </c>
      <c r="E1171" t="s">
        <v>681</v>
      </c>
      <c r="F1171">
        <v>2010</v>
      </c>
      <c r="G1171" t="str">
        <f t="shared" si="19"/>
        <v>STEM: Critical technology key occupations SOC2010</v>
      </c>
    </row>
    <row r="1172" spans="1:7" x14ac:dyDescent="0.35">
      <c r="A1172">
        <v>2129</v>
      </c>
      <c r="B1172" t="str">
        <f>IF(F1172=2020,INDEX(SOC2020_Structure!E:E,MATCH(sectorLookup!A1172,SOC2020_Structure!D:D,0)),INDEX(SOC2010_Structure!E:E,MATCH(sectorLookup!A1172,SOC2010_Structure!D:D,0)))</f>
        <v>Engineering professionals n.e.c.</v>
      </c>
      <c r="C1172" t="s">
        <v>685</v>
      </c>
      <c r="D1172" t="str">
        <f>INDEX('group info'!B:B,MATCH(sectorLookup!C1172,'group info'!A:A,0))</f>
        <v>STEM: Critical technology key occupations</v>
      </c>
      <c r="E1172" t="s">
        <v>681</v>
      </c>
      <c r="F1172">
        <v>2010</v>
      </c>
      <c r="G1172" t="str">
        <f t="shared" si="19"/>
        <v>STEM: Critical technology key occupations SOC2010</v>
      </c>
    </row>
    <row r="1173" spans="1:7" x14ac:dyDescent="0.35">
      <c r="A1173">
        <v>2133</v>
      </c>
      <c r="B1173" t="str">
        <f>IF(F1173=2020,INDEX(SOC2020_Structure!E:E,MATCH(sectorLookup!A1173,SOC2020_Structure!D:D,0)),INDEX(SOC2010_Structure!E:E,MATCH(sectorLookup!A1173,SOC2010_Structure!D:D,0)))</f>
        <v>IT specialist managers</v>
      </c>
      <c r="C1173" t="s">
        <v>685</v>
      </c>
      <c r="D1173" t="str">
        <f>INDEX('group info'!B:B,MATCH(sectorLookup!C1173,'group info'!A:A,0))</f>
        <v>STEM: Critical technology key occupations</v>
      </c>
      <c r="E1173" t="s">
        <v>681</v>
      </c>
      <c r="F1173">
        <v>2010</v>
      </c>
      <c r="G1173" t="str">
        <f t="shared" si="19"/>
        <v>STEM: Critical technology key occupations SOC2010</v>
      </c>
    </row>
    <row r="1174" spans="1:7" x14ac:dyDescent="0.35">
      <c r="A1174">
        <v>2134</v>
      </c>
      <c r="B1174" t="str">
        <f>IF(F1174=2020,INDEX(SOC2020_Structure!E:E,MATCH(sectorLookup!A1174,SOC2020_Structure!D:D,0)),INDEX(SOC2010_Structure!E:E,MATCH(sectorLookup!A1174,SOC2010_Structure!D:D,0)))</f>
        <v>IT project and programme managers</v>
      </c>
      <c r="C1174" t="s">
        <v>685</v>
      </c>
      <c r="D1174" t="str">
        <f>INDEX('group info'!B:B,MATCH(sectorLookup!C1174,'group info'!A:A,0))</f>
        <v>STEM: Critical technology key occupations</v>
      </c>
      <c r="E1174" t="s">
        <v>681</v>
      </c>
      <c r="F1174">
        <v>2010</v>
      </c>
      <c r="G1174" t="str">
        <f t="shared" si="19"/>
        <v>STEM: Critical technology key occupations SOC2010</v>
      </c>
    </row>
    <row r="1175" spans="1:7" x14ac:dyDescent="0.35">
      <c r="A1175">
        <v>2135</v>
      </c>
      <c r="B1175" t="str">
        <f>IF(F1175=2020,INDEX(SOC2020_Structure!E:E,MATCH(sectorLookup!A1175,SOC2020_Structure!D:D,0)),INDEX(SOC2010_Structure!E:E,MATCH(sectorLookup!A1175,SOC2010_Structure!D:D,0)))</f>
        <v>IT business analysts, architects and systems designers</v>
      </c>
      <c r="C1175" t="s">
        <v>685</v>
      </c>
      <c r="D1175" t="str">
        <f>INDEX('group info'!B:B,MATCH(sectorLookup!C1175,'group info'!A:A,0))</f>
        <v>STEM: Critical technology key occupations</v>
      </c>
      <c r="E1175" t="s">
        <v>681</v>
      </c>
      <c r="F1175">
        <v>2010</v>
      </c>
      <c r="G1175" t="str">
        <f t="shared" si="19"/>
        <v>STEM: Critical technology key occupations SOC2010</v>
      </c>
    </row>
    <row r="1176" spans="1:7" x14ac:dyDescent="0.35">
      <c r="A1176">
        <v>2136</v>
      </c>
      <c r="B1176" t="str">
        <f>IF(F1176=2020,INDEX(SOC2020_Structure!E:E,MATCH(sectorLookup!A1176,SOC2020_Structure!D:D,0)),INDEX(SOC2010_Structure!E:E,MATCH(sectorLookup!A1176,SOC2010_Structure!D:D,0)))</f>
        <v>Programmers and software development professionals</v>
      </c>
      <c r="C1176" t="s">
        <v>685</v>
      </c>
      <c r="D1176" t="str">
        <f>INDEX('group info'!B:B,MATCH(sectorLookup!C1176,'group info'!A:A,0))</f>
        <v>STEM: Critical technology key occupations</v>
      </c>
      <c r="E1176" t="s">
        <v>681</v>
      </c>
      <c r="F1176">
        <v>2010</v>
      </c>
      <c r="G1176" t="str">
        <f t="shared" si="19"/>
        <v>STEM: Critical technology key occupations SOC2010</v>
      </c>
    </row>
    <row r="1177" spans="1:7" x14ac:dyDescent="0.35">
      <c r="A1177">
        <v>2139</v>
      </c>
      <c r="B1177" t="str">
        <f>IF(F1177=2020,INDEX(SOC2020_Structure!E:E,MATCH(sectorLookup!A1177,SOC2020_Structure!D:D,0)),INDEX(SOC2010_Structure!E:E,MATCH(sectorLookup!A1177,SOC2010_Structure!D:D,0)))</f>
        <v>Information technology and telecommunications professionals n.e.c.</v>
      </c>
      <c r="C1177" t="s">
        <v>685</v>
      </c>
      <c r="D1177" t="str">
        <f>INDEX('group info'!B:B,MATCH(sectorLookup!C1177,'group info'!A:A,0))</f>
        <v>STEM: Critical technology key occupations</v>
      </c>
      <c r="E1177" t="s">
        <v>681</v>
      </c>
      <c r="F1177">
        <v>2010</v>
      </c>
      <c r="G1177" t="str">
        <f t="shared" si="19"/>
        <v>STEM: Critical technology key occupations SOC2010</v>
      </c>
    </row>
    <row r="1178" spans="1:7" x14ac:dyDescent="0.35">
      <c r="A1178">
        <v>2150</v>
      </c>
      <c r="B1178" t="str">
        <f>IF(F1178=2020,INDEX(SOC2020_Structure!E:E,MATCH(sectorLookup!A1178,SOC2020_Structure!D:D,0)),INDEX(SOC2010_Structure!E:E,MATCH(sectorLookup!A1178,SOC2010_Structure!D:D,0)))</f>
        <v>Research and development managers</v>
      </c>
      <c r="C1178" t="s">
        <v>685</v>
      </c>
      <c r="D1178" t="str">
        <f>INDEX('group info'!B:B,MATCH(sectorLookup!C1178,'group info'!A:A,0))</f>
        <v>STEM: Critical technology key occupations</v>
      </c>
      <c r="E1178" t="s">
        <v>681</v>
      </c>
      <c r="F1178">
        <v>2010</v>
      </c>
      <c r="G1178" t="str">
        <f t="shared" si="19"/>
        <v>STEM: Critical technology key occupations SOC2010</v>
      </c>
    </row>
    <row r="1179" spans="1:7" x14ac:dyDescent="0.35">
      <c r="A1179">
        <v>2425</v>
      </c>
      <c r="B1179" t="str">
        <f>IF(F1179=2020,INDEX(SOC2020_Structure!E:E,MATCH(sectorLookup!A1179,SOC2020_Structure!D:D,0)),INDEX(SOC2010_Structure!E:E,MATCH(sectorLookup!A1179,SOC2010_Structure!D:D,0)))</f>
        <v>Actuaries, economists and statisticians</v>
      </c>
      <c r="C1179" t="s">
        <v>685</v>
      </c>
      <c r="D1179" t="str">
        <f>INDEX('group info'!B:B,MATCH(sectorLookup!C1179,'group info'!A:A,0))</f>
        <v>STEM: Critical technology key occupations</v>
      </c>
      <c r="E1179" t="s">
        <v>681</v>
      </c>
      <c r="F1179">
        <v>2010</v>
      </c>
      <c r="G1179" t="str">
        <f t="shared" si="19"/>
        <v>STEM: Critical technology key occupations SOC2010</v>
      </c>
    </row>
    <row r="1180" spans="1:7" x14ac:dyDescent="0.35">
      <c r="A1180">
        <v>2461</v>
      </c>
      <c r="B1180" t="str">
        <f>IF(F1180=2020,INDEX(SOC2020_Structure!E:E,MATCH(sectorLookup!A1180,SOC2020_Structure!D:D,0)),INDEX(SOC2010_Structure!E:E,MATCH(sectorLookup!A1180,SOC2010_Structure!D:D,0)))</f>
        <v>Quality control and planning engineers</v>
      </c>
      <c r="C1180" t="s">
        <v>685</v>
      </c>
      <c r="D1180" t="str">
        <f>INDEX('group info'!B:B,MATCH(sectorLookup!C1180,'group info'!A:A,0))</f>
        <v>STEM: Critical technology key occupations</v>
      </c>
      <c r="E1180" t="s">
        <v>681</v>
      </c>
      <c r="F1180">
        <v>2010</v>
      </c>
      <c r="G1180" t="str">
        <f t="shared" si="19"/>
        <v>STEM: Critical technology key occupations SOC2010</v>
      </c>
    </row>
    <row r="1181" spans="1:7" x14ac:dyDescent="0.35">
      <c r="A1181">
        <v>3111</v>
      </c>
      <c r="B1181" t="str">
        <f>IF(F1181=2020,INDEX(SOC2020_Structure!E:E,MATCH(sectorLookup!A1181,SOC2020_Structure!D:D,0)),INDEX(SOC2010_Structure!E:E,MATCH(sectorLookup!A1181,SOC2010_Structure!D:D,0)))</f>
        <v>Laboratory technicians</v>
      </c>
      <c r="C1181" t="s">
        <v>685</v>
      </c>
      <c r="D1181" t="str">
        <f>INDEX('group info'!B:B,MATCH(sectorLookup!C1181,'group info'!A:A,0))</f>
        <v>STEM: Critical technology key occupations</v>
      </c>
      <c r="E1181" t="s">
        <v>681</v>
      </c>
      <c r="F1181">
        <v>2010</v>
      </c>
      <c r="G1181" t="str">
        <f t="shared" si="19"/>
        <v>STEM: Critical technology key occupations SOC2010</v>
      </c>
    </row>
    <row r="1182" spans="1:7" x14ac:dyDescent="0.35">
      <c r="A1182">
        <v>3112</v>
      </c>
      <c r="B1182" t="str">
        <f>IF(F1182=2020,INDEX(SOC2020_Structure!E:E,MATCH(sectorLookup!A1182,SOC2020_Structure!D:D,0)),INDEX(SOC2010_Structure!E:E,MATCH(sectorLookup!A1182,SOC2010_Structure!D:D,0)))</f>
        <v>Electrical and electronics technicians</v>
      </c>
      <c r="C1182" t="s">
        <v>685</v>
      </c>
      <c r="D1182" t="str">
        <f>INDEX('group info'!B:B,MATCH(sectorLookup!C1182,'group info'!A:A,0))</f>
        <v>STEM: Critical technology key occupations</v>
      </c>
      <c r="E1182" t="s">
        <v>681</v>
      </c>
      <c r="F1182">
        <v>2010</v>
      </c>
      <c r="G1182" t="str">
        <f t="shared" si="19"/>
        <v>STEM: Critical technology key occupations SOC2010</v>
      </c>
    </row>
    <row r="1183" spans="1:7" x14ac:dyDescent="0.35">
      <c r="A1183">
        <v>3113</v>
      </c>
      <c r="B1183" t="str">
        <f>IF(F1183=2020,INDEX(SOC2020_Structure!E:E,MATCH(sectorLookup!A1183,SOC2020_Structure!D:D,0)),INDEX(SOC2010_Structure!E:E,MATCH(sectorLookup!A1183,SOC2010_Structure!D:D,0)))</f>
        <v>Engineering technicians</v>
      </c>
      <c r="C1183" t="s">
        <v>685</v>
      </c>
      <c r="D1183" t="str">
        <f>INDEX('group info'!B:B,MATCH(sectorLookup!C1183,'group info'!A:A,0))</f>
        <v>STEM: Critical technology key occupations</v>
      </c>
      <c r="E1183" t="s">
        <v>681</v>
      </c>
      <c r="F1183">
        <v>2010</v>
      </c>
      <c r="G1183" t="str">
        <f t="shared" si="19"/>
        <v>STEM: Critical technology key occupations SOC2010</v>
      </c>
    </row>
    <row r="1184" spans="1:7" x14ac:dyDescent="0.35">
      <c r="A1184">
        <v>3115</v>
      </c>
      <c r="B1184" t="str">
        <f>IF(F1184=2020,INDEX(SOC2020_Structure!E:E,MATCH(sectorLookup!A1184,SOC2020_Structure!D:D,0)),INDEX(SOC2010_Structure!E:E,MATCH(sectorLookup!A1184,SOC2010_Structure!D:D,0)))</f>
        <v>Quality assurance technicians</v>
      </c>
      <c r="C1184" t="s">
        <v>685</v>
      </c>
      <c r="D1184" t="str">
        <f>INDEX('group info'!B:B,MATCH(sectorLookup!C1184,'group info'!A:A,0))</f>
        <v>STEM: Critical technology key occupations</v>
      </c>
      <c r="E1184" t="s">
        <v>681</v>
      </c>
      <c r="F1184">
        <v>2010</v>
      </c>
      <c r="G1184" t="str">
        <f t="shared" si="19"/>
        <v>STEM: Critical technology key occupations SOC2010</v>
      </c>
    </row>
    <row r="1185" spans="1:7" x14ac:dyDescent="0.35">
      <c r="A1185">
        <v>3116</v>
      </c>
      <c r="B1185" t="str">
        <f>IF(F1185=2020,INDEX(SOC2020_Structure!E:E,MATCH(sectorLookup!A1185,SOC2020_Structure!D:D,0)),INDEX(SOC2010_Structure!E:E,MATCH(sectorLookup!A1185,SOC2010_Structure!D:D,0)))</f>
        <v>Planning, process and production technicians</v>
      </c>
      <c r="C1185" t="s">
        <v>685</v>
      </c>
      <c r="D1185" t="str">
        <f>INDEX('group info'!B:B,MATCH(sectorLookup!C1185,'group info'!A:A,0))</f>
        <v>STEM: Critical technology key occupations</v>
      </c>
      <c r="E1185" t="s">
        <v>681</v>
      </c>
      <c r="F1185">
        <v>2010</v>
      </c>
      <c r="G1185" t="str">
        <f t="shared" si="19"/>
        <v>STEM: Critical technology key occupations SOC2010</v>
      </c>
    </row>
    <row r="1186" spans="1:7" x14ac:dyDescent="0.35">
      <c r="A1186">
        <v>3119</v>
      </c>
      <c r="B1186" t="str">
        <f>IF(F1186=2020,INDEX(SOC2020_Structure!E:E,MATCH(sectorLookup!A1186,SOC2020_Structure!D:D,0)),INDEX(SOC2010_Structure!E:E,MATCH(sectorLookup!A1186,SOC2010_Structure!D:D,0)))</f>
        <v>Science, engineering and production technicians n.e.c.</v>
      </c>
      <c r="C1186" t="s">
        <v>685</v>
      </c>
      <c r="D1186" t="str">
        <f>INDEX('group info'!B:B,MATCH(sectorLookup!C1186,'group info'!A:A,0))</f>
        <v>STEM: Critical technology key occupations</v>
      </c>
      <c r="E1186" t="s">
        <v>681</v>
      </c>
      <c r="F1186">
        <v>2010</v>
      </c>
      <c r="G1186" t="str">
        <f t="shared" si="19"/>
        <v>STEM: Critical technology key occupations SOC2010</v>
      </c>
    </row>
    <row r="1187" spans="1:7" x14ac:dyDescent="0.35">
      <c r="A1187">
        <v>3539</v>
      </c>
      <c r="B1187" t="str">
        <f>IF(F1187=2020,INDEX(SOC2020_Structure!E:E,MATCH(sectorLookup!A1187,SOC2020_Structure!D:D,0)),INDEX(SOC2010_Structure!E:E,MATCH(sectorLookup!A1187,SOC2010_Structure!D:D,0)))</f>
        <v>Business and related associate professionals n.e.c.</v>
      </c>
      <c r="C1187" t="s">
        <v>685</v>
      </c>
      <c r="D1187" t="str">
        <f>INDEX('group info'!B:B,MATCH(sectorLookup!C1187,'group info'!A:A,0))</f>
        <v>STEM: Critical technology key occupations</v>
      </c>
      <c r="E1187" t="s">
        <v>681</v>
      </c>
      <c r="F1187">
        <v>2010</v>
      </c>
      <c r="G1187" t="str">
        <f t="shared" si="19"/>
        <v>STEM: Critical technology key occupations SOC2010</v>
      </c>
    </row>
    <row r="1188" spans="1:7" x14ac:dyDescent="0.35">
      <c r="A1188">
        <v>3565</v>
      </c>
      <c r="B1188" t="str">
        <f>IF(F1188=2020,INDEX(SOC2020_Structure!E:E,MATCH(sectorLookup!A1188,SOC2020_Structure!D:D,0)),INDEX(SOC2010_Structure!E:E,MATCH(sectorLookup!A1188,SOC2010_Structure!D:D,0)))</f>
        <v>Inspectors of standards and regulations</v>
      </c>
      <c r="C1188" t="s">
        <v>685</v>
      </c>
      <c r="D1188" t="str">
        <f>INDEX('group info'!B:B,MATCH(sectorLookup!C1188,'group info'!A:A,0))</f>
        <v>STEM: Critical technology key occupations</v>
      </c>
      <c r="E1188" t="s">
        <v>681</v>
      </c>
      <c r="F1188">
        <v>2010</v>
      </c>
      <c r="G1188" t="str">
        <f t="shared" si="19"/>
        <v>STEM: Critical technology key occupations SOC2010</v>
      </c>
    </row>
    <row r="1189" spans="1:7" x14ac:dyDescent="0.35">
      <c r="A1189">
        <v>5242</v>
      </c>
      <c r="B1189" t="str">
        <f>IF(F1189=2020,INDEX(SOC2020_Structure!E:E,MATCH(sectorLookup!A1189,SOC2020_Structure!D:D,0)),INDEX(SOC2010_Structure!E:E,MATCH(sectorLookup!A1189,SOC2010_Structure!D:D,0)))</f>
        <v>Telecommunications engineers</v>
      </c>
      <c r="C1189" t="s">
        <v>685</v>
      </c>
      <c r="D1189" t="str">
        <f>INDEX('group info'!B:B,MATCH(sectorLookup!C1189,'group info'!A:A,0))</f>
        <v>STEM: Critical technology key occupations</v>
      </c>
      <c r="E1189" t="s">
        <v>681</v>
      </c>
      <c r="F1189">
        <v>2010</v>
      </c>
      <c r="G1189" t="str">
        <f t="shared" si="19"/>
        <v>STEM: Critical technology key occupations SOC2010</v>
      </c>
    </row>
    <row r="1190" spans="1:7" x14ac:dyDescent="0.35">
      <c r="A1190">
        <v>8119</v>
      </c>
      <c r="B1190" t="str">
        <f>IF(F1190=2020,INDEX(SOC2020_Structure!E:E,MATCH(sectorLookup!A1190,SOC2020_Structure!D:D,0)),INDEX(SOC2010_Structure!E:E,MATCH(sectorLookup!A1190,SOC2010_Structure!D:D,0)))</f>
        <v>Process operatives n.e.c.</v>
      </c>
      <c r="C1190" t="s">
        <v>685</v>
      </c>
      <c r="D1190" t="str">
        <f>INDEX('group info'!B:B,MATCH(sectorLookup!C1190,'group info'!A:A,0))</f>
        <v>STEM: Critical technology key occupations</v>
      </c>
      <c r="E1190" t="s">
        <v>681</v>
      </c>
      <c r="F1190">
        <v>2010</v>
      </c>
      <c r="G1190" t="str">
        <f t="shared" si="19"/>
        <v>STEM: Critical technology key occupations SOC2010</v>
      </c>
    </row>
    <row r="1191" spans="1:7" x14ac:dyDescent="0.35">
      <c r="A1191">
        <v>8129</v>
      </c>
      <c r="B1191" t="str">
        <f>IF(F1191=2020,INDEX(SOC2020_Structure!E:E,MATCH(sectorLookup!A1191,SOC2020_Structure!D:D,0)),INDEX(SOC2010_Structure!E:E,MATCH(sectorLookup!A1191,SOC2010_Structure!D:D,0)))</f>
        <v>Plant and machine operatives n.e.c.</v>
      </c>
      <c r="C1191" t="s">
        <v>685</v>
      </c>
      <c r="D1191" t="str">
        <f>INDEX('group info'!B:B,MATCH(sectorLookup!C1191,'group info'!A:A,0))</f>
        <v>STEM: Critical technology key occupations</v>
      </c>
      <c r="E1191" t="s">
        <v>681</v>
      </c>
      <c r="F1191">
        <v>2010</v>
      </c>
      <c r="G1191" t="str">
        <f t="shared" si="19"/>
        <v>STEM: Critical technology key occupations SOC2010</v>
      </c>
    </row>
    <row r="1192" spans="1:7" x14ac:dyDescent="0.35">
      <c r="A1192">
        <v>8133</v>
      </c>
      <c r="B1192" t="str">
        <f>IF(F1192=2020,INDEX(SOC2020_Structure!E:E,MATCH(sectorLookup!A1192,SOC2020_Structure!D:D,0)),INDEX(SOC2010_Structure!E:E,MATCH(sectorLookup!A1192,SOC2010_Structure!D:D,0)))</f>
        <v>Routine inspectors and testers</v>
      </c>
      <c r="C1192" t="s">
        <v>685</v>
      </c>
      <c r="D1192" t="str">
        <f>INDEX('group info'!B:B,MATCH(sectorLookup!C1192,'group info'!A:A,0))</f>
        <v>STEM: Critical technology key occupations</v>
      </c>
      <c r="E1192" t="s">
        <v>681</v>
      </c>
      <c r="F1192">
        <v>2010</v>
      </c>
      <c r="G1192" t="str">
        <f t="shared" si="19"/>
        <v>STEM: Critical technology key occupations SOC2010</v>
      </c>
    </row>
  </sheetData>
  <autoFilter ref="A1:G1164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BE65-EB3A-4029-B87F-6950D59E8066}">
  <dimension ref="A1:D20"/>
  <sheetViews>
    <sheetView tabSelected="1" workbookViewId="0">
      <selection activeCell="D13" sqref="D13"/>
    </sheetView>
  </sheetViews>
  <sheetFormatPr defaultRowHeight="14.5" x14ac:dyDescent="0.35"/>
  <cols>
    <col min="1" max="1" width="54.7265625" bestFit="1" customWidth="1"/>
    <col min="2" max="2" width="35.90625" bestFit="1" customWidth="1"/>
  </cols>
  <sheetData>
    <row r="1" spans="1:4" x14ac:dyDescent="0.35">
      <c r="A1" t="s">
        <v>691</v>
      </c>
      <c r="B1" t="s">
        <v>694</v>
      </c>
      <c r="C1" t="s">
        <v>266</v>
      </c>
      <c r="D1" t="s">
        <v>692</v>
      </c>
    </row>
    <row r="2" spans="1:4" x14ac:dyDescent="0.35">
      <c r="A2" t="str">
        <f>B2&amp;" SOC"&amp;C2</f>
        <v>Construction SOC2010</v>
      </c>
      <c r="B2" t="s">
        <v>237</v>
      </c>
      <c r="C2">
        <v>2010</v>
      </c>
      <c r="D2" t="s">
        <v>698</v>
      </c>
    </row>
    <row r="3" spans="1:4" x14ac:dyDescent="0.35">
      <c r="A3" t="str">
        <f t="shared" ref="A3:A20" si="0">B3&amp;" SOC"&amp;C3</f>
        <v>Digital and technology SOC2010</v>
      </c>
      <c r="B3" t="s">
        <v>238</v>
      </c>
      <c r="C3">
        <v>2010</v>
      </c>
      <c r="D3" t="s">
        <v>701</v>
      </c>
    </row>
    <row r="4" spans="1:4" x14ac:dyDescent="0.35">
      <c r="A4" t="str">
        <f t="shared" si="0"/>
        <v>Green SOC2020</v>
      </c>
      <c r="B4" t="s">
        <v>263</v>
      </c>
      <c r="C4">
        <v>2020</v>
      </c>
      <c r="D4" t="s">
        <v>703</v>
      </c>
    </row>
    <row r="5" spans="1:4" x14ac:dyDescent="0.35">
      <c r="A5" t="str">
        <f t="shared" si="0"/>
        <v>Green SOC2010</v>
      </c>
      <c r="B5" t="s">
        <v>263</v>
      </c>
      <c r="C5">
        <v>2010</v>
      </c>
      <c r="D5" t="s">
        <v>704</v>
      </c>
    </row>
    <row r="6" spans="1:4" x14ac:dyDescent="0.35">
      <c r="A6" t="str">
        <f t="shared" si="0"/>
        <v>Haulage and logistics SOC2010</v>
      </c>
      <c r="B6" t="s">
        <v>239</v>
      </c>
      <c r="C6">
        <v>2010</v>
      </c>
      <c r="D6" t="s">
        <v>705</v>
      </c>
    </row>
    <row r="7" spans="1:4" x14ac:dyDescent="0.35">
      <c r="A7" t="str">
        <f t="shared" si="0"/>
        <v>Health and social care SOC2010</v>
      </c>
      <c r="B7" t="s">
        <v>240</v>
      </c>
      <c r="C7">
        <v>2010</v>
      </c>
      <c r="D7" t="s">
        <v>707</v>
      </c>
    </row>
    <row r="8" spans="1:4" x14ac:dyDescent="0.35">
      <c r="A8" t="str">
        <f t="shared" si="0"/>
        <v>Manufacturing SOC2010</v>
      </c>
      <c r="B8" t="s">
        <v>236</v>
      </c>
      <c r="C8">
        <v>2010</v>
      </c>
      <c r="D8" t="s">
        <v>709</v>
      </c>
    </row>
    <row r="9" spans="1:4" x14ac:dyDescent="0.35">
      <c r="A9" t="str">
        <f t="shared" si="0"/>
        <v>STEM SOC2020</v>
      </c>
      <c r="B9" s="11" t="s">
        <v>711</v>
      </c>
      <c r="C9">
        <v>2020</v>
      </c>
      <c r="D9" s="12" t="s">
        <v>749</v>
      </c>
    </row>
    <row r="10" spans="1:4" x14ac:dyDescent="0.35">
      <c r="A10" t="str">
        <f t="shared" si="0"/>
        <v>STEM SOC2010</v>
      </c>
      <c r="B10" s="11" t="s">
        <v>711</v>
      </c>
      <c r="C10">
        <v>2010</v>
      </c>
      <c r="D10" s="12" t="s">
        <v>750</v>
      </c>
    </row>
    <row r="11" spans="1:4" x14ac:dyDescent="0.35">
      <c r="A11" t="str">
        <f t="shared" si="0"/>
        <v>STEM plus medicine and health and other SOC2020</v>
      </c>
      <c r="B11" s="11" t="s">
        <v>718</v>
      </c>
      <c r="C11">
        <v>2020</v>
      </c>
      <c r="D11" s="12" t="s">
        <v>751</v>
      </c>
    </row>
    <row r="12" spans="1:4" x14ac:dyDescent="0.35">
      <c r="A12" t="str">
        <f t="shared" si="0"/>
        <v>STEM plus medicine and health and other SOC2010</v>
      </c>
      <c r="B12" s="11" t="s">
        <v>718</v>
      </c>
      <c r="C12">
        <v>2010</v>
      </c>
      <c r="D12" s="12" t="s">
        <v>752</v>
      </c>
    </row>
    <row r="13" spans="1:4" x14ac:dyDescent="0.35">
      <c r="A13" t="str">
        <f t="shared" si="0"/>
        <v>STEM: DCSET SOC2020</v>
      </c>
      <c r="B13" s="11" t="s">
        <v>723</v>
      </c>
      <c r="C13">
        <v>2020</v>
      </c>
      <c r="D13" s="13" t="s">
        <v>724</v>
      </c>
    </row>
    <row r="14" spans="1:4" x14ac:dyDescent="0.35">
      <c r="A14" t="str">
        <f t="shared" si="0"/>
        <v>STEM: AI SOC2020</v>
      </c>
      <c r="B14" s="11" t="s">
        <v>727</v>
      </c>
      <c r="C14">
        <v>2020</v>
      </c>
      <c r="D14" s="13" t="s">
        <v>728</v>
      </c>
    </row>
    <row r="15" spans="1:4" x14ac:dyDescent="0.35">
      <c r="A15" t="str">
        <f t="shared" si="0"/>
        <v>STEM: Eng Bio SOC2020</v>
      </c>
      <c r="B15" s="11" t="s">
        <v>731</v>
      </c>
      <c r="C15">
        <v>2020</v>
      </c>
      <c r="D15" s="13" t="s">
        <v>732</v>
      </c>
    </row>
    <row r="16" spans="1:4" x14ac:dyDescent="0.35">
      <c r="A16" t="str">
        <f t="shared" si="0"/>
        <v>STEM: Future Telecoms SOC2020</v>
      </c>
      <c r="B16" s="11" t="s">
        <v>734</v>
      </c>
      <c r="C16">
        <v>2020</v>
      </c>
      <c r="D16" s="13" t="s">
        <v>735</v>
      </c>
    </row>
    <row r="17" spans="1:4" x14ac:dyDescent="0.35">
      <c r="A17" t="str">
        <f t="shared" si="0"/>
        <v>STEM: Quantum SOC2020</v>
      </c>
      <c r="B17" s="11" t="s">
        <v>737</v>
      </c>
      <c r="C17">
        <v>2020</v>
      </c>
      <c r="D17" s="13" t="s">
        <v>738</v>
      </c>
    </row>
    <row r="18" spans="1:4" x14ac:dyDescent="0.35">
      <c r="A18" t="str">
        <f t="shared" si="0"/>
        <v>STEM: Semiconductors SOC2020</v>
      </c>
      <c r="B18" s="11" t="s">
        <v>740</v>
      </c>
      <c r="C18">
        <v>2020</v>
      </c>
      <c r="D18" s="13" t="s">
        <v>741</v>
      </c>
    </row>
    <row r="19" spans="1:4" x14ac:dyDescent="0.35">
      <c r="A19" t="str">
        <f t="shared" si="0"/>
        <v>STEM: Critical technology key occupations SOC2020</v>
      </c>
      <c r="B19" s="11" t="s">
        <v>743</v>
      </c>
      <c r="C19">
        <v>2020</v>
      </c>
      <c r="D19" s="13" t="s">
        <v>744</v>
      </c>
    </row>
    <row r="20" spans="1:4" x14ac:dyDescent="0.35">
      <c r="A20" t="str">
        <f t="shared" si="0"/>
        <v>STEM: Critical technology key occupations SOC2010</v>
      </c>
      <c r="B20" t="s">
        <v>743</v>
      </c>
      <c r="C20">
        <v>2010</v>
      </c>
      <c r="D20" t="s">
        <v>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E68C-5E42-40AD-982F-9A401DEDC84D}">
  <dimension ref="A1:G794"/>
  <sheetViews>
    <sheetView workbookViewId="0"/>
  </sheetViews>
  <sheetFormatPr defaultRowHeight="14.5" x14ac:dyDescent="0.35"/>
  <sheetData>
    <row r="1" spans="1:7" ht="58" x14ac:dyDescent="0.35">
      <c r="A1" s="1" t="s">
        <v>325</v>
      </c>
      <c r="B1" s="1" t="s">
        <v>326</v>
      </c>
      <c r="C1" s="1" t="s">
        <v>327</v>
      </c>
      <c r="D1" t="s">
        <v>328</v>
      </c>
      <c r="E1" t="s">
        <v>329</v>
      </c>
      <c r="F1" t="s">
        <v>330</v>
      </c>
      <c r="G1" t="s">
        <v>331</v>
      </c>
    </row>
    <row r="2" spans="1:7" x14ac:dyDescent="0.35">
      <c r="A2">
        <v>1</v>
      </c>
      <c r="E2" t="s">
        <v>332</v>
      </c>
    </row>
    <row r="4" spans="1:7" x14ac:dyDescent="0.35">
      <c r="B4">
        <v>11</v>
      </c>
      <c r="E4" t="s">
        <v>333</v>
      </c>
    </row>
    <row r="6" spans="1:7" x14ac:dyDescent="0.35">
      <c r="C6">
        <v>111</v>
      </c>
      <c r="E6" t="s">
        <v>334</v>
      </c>
    </row>
    <row r="8" spans="1:7" x14ac:dyDescent="0.35">
      <c r="D8">
        <v>1111</v>
      </c>
      <c r="E8" t="s">
        <v>335</v>
      </c>
    </row>
    <row r="9" spans="1:7" x14ac:dyDescent="0.35">
      <c r="D9">
        <v>1112</v>
      </c>
      <c r="E9" t="s">
        <v>336</v>
      </c>
    </row>
    <row r="11" spans="1:7" x14ac:dyDescent="0.35">
      <c r="C11">
        <v>112</v>
      </c>
      <c r="E11" t="s">
        <v>337</v>
      </c>
    </row>
    <row r="13" spans="1:7" x14ac:dyDescent="0.35">
      <c r="D13">
        <v>1121</v>
      </c>
      <c r="E13" t="s">
        <v>2</v>
      </c>
    </row>
    <row r="14" spans="1:7" x14ac:dyDescent="0.35">
      <c r="D14">
        <v>1122</v>
      </c>
      <c r="E14" t="s">
        <v>3</v>
      </c>
    </row>
    <row r="15" spans="1:7" x14ac:dyDescent="0.35">
      <c r="D15">
        <v>1123</v>
      </c>
      <c r="E15" t="s">
        <v>4</v>
      </c>
    </row>
    <row r="17" spans="3:5" x14ac:dyDescent="0.35">
      <c r="C17">
        <v>113</v>
      </c>
      <c r="E17" t="s">
        <v>338</v>
      </c>
    </row>
    <row r="19" spans="3:5" x14ac:dyDescent="0.35">
      <c r="D19">
        <v>1131</v>
      </c>
      <c r="E19" t="s">
        <v>5</v>
      </c>
    </row>
    <row r="20" spans="3:5" x14ac:dyDescent="0.35">
      <c r="D20">
        <v>1132</v>
      </c>
      <c r="E20" t="s">
        <v>339</v>
      </c>
    </row>
    <row r="21" spans="3:5" x14ac:dyDescent="0.35">
      <c r="D21">
        <v>1133</v>
      </c>
      <c r="E21" t="s">
        <v>6</v>
      </c>
    </row>
    <row r="22" spans="3:5" x14ac:dyDescent="0.35">
      <c r="D22">
        <v>1134</v>
      </c>
      <c r="E22" t="s">
        <v>340</v>
      </c>
    </row>
    <row r="23" spans="3:5" x14ac:dyDescent="0.35">
      <c r="D23">
        <v>1135</v>
      </c>
      <c r="E23" t="s">
        <v>341</v>
      </c>
    </row>
    <row r="24" spans="3:5" x14ac:dyDescent="0.35">
      <c r="D24">
        <v>1136</v>
      </c>
      <c r="E24" t="s">
        <v>342</v>
      </c>
    </row>
    <row r="25" spans="3:5" x14ac:dyDescent="0.35">
      <c r="D25">
        <v>1137</v>
      </c>
      <c r="E25" t="s">
        <v>343</v>
      </c>
    </row>
    <row r="26" spans="3:5" x14ac:dyDescent="0.35">
      <c r="D26">
        <v>1139</v>
      </c>
      <c r="E26" t="s">
        <v>7</v>
      </c>
    </row>
    <row r="28" spans="3:5" x14ac:dyDescent="0.35">
      <c r="C28">
        <v>114</v>
      </c>
      <c r="E28" t="s">
        <v>344</v>
      </c>
    </row>
    <row r="30" spans="3:5" x14ac:dyDescent="0.35">
      <c r="D30">
        <v>1140</v>
      </c>
      <c r="E30" t="s">
        <v>345</v>
      </c>
    </row>
    <row r="32" spans="3:5" x14ac:dyDescent="0.35">
      <c r="C32">
        <v>115</v>
      </c>
      <c r="E32" t="s">
        <v>346</v>
      </c>
    </row>
    <row r="34" spans="2:5" x14ac:dyDescent="0.35">
      <c r="D34">
        <v>1150</v>
      </c>
      <c r="E34" t="s">
        <v>347</v>
      </c>
    </row>
    <row r="36" spans="2:5" x14ac:dyDescent="0.35">
      <c r="C36">
        <v>116</v>
      </c>
      <c r="E36" t="s">
        <v>348</v>
      </c>
    </row>
    <row r="38" spans="2:5" x14ac:dyDescent="0.35">
      <c r="D38">
        <v>1161</v>
      </c>
      <c r="E38" t="s">
        <v>295</v>
      </c>
    </row>
    <row r="39" spans="2:5" x14ac:dyDescent="0.35">
      <c r="D39">
        <v>1162</v>
      </c>
      <c r="E39" t="s">
        <v>349</v>
      </c>
    </row>
    <row r="40" spans="2:5" x14ac:dyDescent="0.35">
      <c r="D40">
        <v>1163</v>
      </c>
      <c r="E40" t="s">
        <v>350</v>
      </c>
    </row>
    <row r="42" spans="2:5" x14ac:dyDescent="0.35">
      <c r="C42">
        <v>117</v>
      </c>
      <c r="E42" t="s">
        <v>351</v>
      </c>
    </row>
    <row r="44" spans="2:5" x14ac:dyDescent="0.35">
      <c r="D44">
        <v>1171</v>
      </c>
      <c r="E44" t="s">
        <v>8</v>
      </c>
    </row>
    <row r="45" spans="2:5" x14ac:dyDescent="0.35">
      <c r="D45">
        <v>1172</v>
      </c>
      <c r="E45" t="s">
        <v>9</v>
      </c>
    </row>
    <row r="47" spans="2:5" x14ac:dyDescent="0.35">
      <c r="B47">
        <v>12</v>
      </c>
      <c r="E47" t="s">
        <v>352</v>
      </c>
    </row>
    <row r="49" spans="3:7" x14ac:dyDescent="0.35">
      <c r="C49">
        <v>121</v>
      </c>
      <c r="E49" t="s">
        <v>353</v>
      </c>
    </row>
    <row r="51" spans="3:7" x14ac:dyDescent="0.35">
      <c r="D51">
        <v>1211</v>
      </c>
      <c r="E51" t="s">
        <v>10</v>
      </c>
    </row>
    <row r="52" spans="3:7" x14ac:dyDescent="0.35">
      <c r="D52">
        <v>1212</v>
      </c>
      <c r="E52" t="s">
        <v>354</v>
      </c>
    </row>
    <row r="54" spans="3:7" x14ac:dyDescent="0.35">
      <c r="C54">
        <v>122</v>
      </c>
      <c r="E54" t="s">
        <v>355</v>
      </c>
    </row>
    <row r="56" spans="3:7" x14ac:dyDescent="0.35">
      <c r="D56">
        <v>1221</v>
      </c>
      <c r="E56" t="s">
        <v>356</v>
      </c>
    </row>
    <row r="57" spans="3:7" x14ac:dyDescent="0.35">
      <c r="D57">
        <v>1222</v>
      </c>
      <c r="E57" t="s">
        <v>357</v>
      </c>
    </row>
    <row r="58" spans="3:7" x14ac:dyDescent="0.35">
      <c r="D58">
        <v>1223</v>
      </c>
      <c r="E58" t="s">
        <v>358</v>
      </c>
    </row>
    <row r="59" spans="3:7" x14ac:dyDescent="0.35">
      <c r="D59">
        <v>1224</v>
      </c>
      <c r="E59" t="s">
        <v>359</v>
      </c>
      <c r="F59" t="s">
        <v>360</v>
      </c>
      <c r="G59" s="2">
        <v>44799</v>
      </c>
    </row>
    <row r="60" spans="3:7" x14ac:dyDescent="0.35">
      <c r="D60">
        <v>1225</v>
      </c>
      <c r="E60" t="s">
        <v>361</v>
      </c>
    </row>
    <row r="62" spans="3:7" x14ac:dyDescent="0.35">
      <c r="C62">
        <v>123</v>
      </c>
      <c r="E62" t="s">
        <v>362</v>
      </c>
    </row>
    <row r="64" spans="3:7" x14ac:dyDescent="0.35">
      <c r="D64">
        <v>1231</v>
      </c>
      <c r="E64" t="s">
        <v>11</v>
      </c>
    </row>
    <row r="65" spans="3:5" x14ac:dyDescent="0.35">
      <c r="D65">
        <v>1232</v>
      </c>
      <c r="E65" t="s">
        <v>363</v>
      </c>
    </row>
    <row r="66" spans="3:5" x14ac:dyDescent="0.35">
      <c r="D66">
        <v>1233</v>
      </c>
      <c r="E66" t="s">
        <v>364</v>
      </c>
    </row>
    <row r="68" spans="3:5" x14ac:dyDescent="0.35">
      <c r="C68">
        <v>124</v>
      </c>
      <c r="E68" t="s">
        <v>365</v>
      </c>
    </row>
    <row r="70" spans="3:5" x14ac:dyDescent="0.35">
      <c r="D70">
        <v>1241</v>
      </c>
      <c r="E70" t="s">
        <v>279</v>
      </c>
    </row>
    <row r="71" spans="3:5" x14ac:dyDescent="0.35">
      <c r="D71">
        <v>1242</v>
      </c>
      <c r="E71" t="s">
        <v>366</v>
      </c>
    </row>
    <row r="72" spans="3:5" x14ac:dyDescent="0.35">
      <c r="D72">
        <v>1243</v>
      </c>
      <c r="E72" t="s">
        <v>12</v>
      </c>
    </row>
    <row r="74" spans="3:5" x14ac:dyDescent="0.35">
      <c r="C74">
        <v>125</v>
      </c>
      <c r="E74" t="s">
        <v>367</v>
      </c>
    </row>
    <row r="76" spans="3:5" x14ac:dyDescent="0.35">
      <c r="D76">
        <v>1251</v>
      </c>
      <c r="E76" t="s">
        <v>249</v>
      </c>
    </row>
    <row r="77" spans="3:5" x14ac:dyDescent="0.35">
      <c r="D77">
        <v>1252</v>
      </c>
      <c r="E77" t="s">
        <v>121</v>
      </c>
    </row>
    <row r="78" spans="3:5" x14ac:dyDescent="0.35">
      <c r="D78">
        <v>1253</v>
      </c>
      <c r="E78" t="s">
        <v>368</v>
      </c>
    </row>
    <row r="79" spans="3:5" x14ac:dyDescent="0.35">
      <c r="D79">
        <v>1254</v>
      </c>
      <c r="E79" t="s">
        <v>289</v>
      </c>
    </row>
    <row r="80" spans="3:5" x14ac:dyDescent="0.35">
      <c r="D80">
        <v>1255</v>
      </c>
      <c r="E80" t="s">
        <v>369</v>
      </c>
    </row>
    <row r="81" spans="1:5" x14ac:dyDescent="0.35">
      <c r="D81">
        <v>1256</v>
      </c>
      <c r="E81" t="s">
        <v>370</v>
      </c>
    </row>
    <row r="82" spans="1:5" x14ac:dyDescent="0.35">
      <c r="D82">
        <v>1257</v>
      </c>
      <c r="E82" t="s">
        <v>281</v>
      </c>
    </row>
    <row r="83" spans="1:5" x14ac:dyDescent="0.35">
      <c r="D83">
        <v>1258</v>
      </c>
      <c r="E83" t="s">
        <v>371</v>
      </c>
    </row>
    <row r="84" spans="1:5" x14ac:dyDescent="0.35">
      <c r="D84">
        <v>1259</v>
      </c>
      <c r="E84" t="s">
        <v>294</v>
      </c>
    </row>
    <row r="86" spans="1:5" x14ac:dyDescent="0.35">
      <c r="A86">
        <v>2</v>
      </c>
      <c r="E86" t="s">
        <v>372</v>
      </c>
    </row>
    <row r="88" spans="1:5" x14ac:dyDescent="0.35">
      <c r="B88">
        <v>21</v>
      </c>
      <c r="E88" t="s">
        <v>373</v>
      </c>
    </row>
    <row r="90" spans="1:5" x14ac:dyDescent="0.35">
      <c r="C90">
        <v>211</v>
      </c>
      <c r="E90" t="s">
        <v>374</v>
      </c>
    </row>
    <row r="92" spans="1:5" x14ac:dyDescent="0.35">
      <c r="D92">
        <v>2111</v>
      </c>
      <c r="E92" t="s">
        <v>13</v>
      </c>
    </row>
    <row r="93" spans="1:5" x14ac:dyDescent="0.35">
      <c r="D93">
        <v>2112</v>
      </c>
      <c r="E93" t="s">
        <v>14</v>
      </c>
    </row>
    <row r="94" spans="1:5" x14ac:dyDescent="0.35">
      <c r="D94">
        <v>2113</v>
      </c>
      <c r="E94" t="s">
        <v>15</v>
      </c>
    </row>
    <row r="95" spans="1:5" x14ac:dyDescent="0.35">
      <c r="D95">
        <v>2114</v>
      </c>
      <c r="E95" t="s">
        <v>16</v>
      </c>
    </row>
    <row r="96" spans="1:5" x14ac:dyDescent="0.35">
      <c r="D96">
        <v>2115</v>
      </c>
      <c r="E96" t="s">
        <v>17</v>
      </c>
    </row>
    <row r="97" spans="3:5" x14ac:dyDescent="0.35">
      <c r="D97">
        <v>2119</v>
      </c>
      <c r="E97" t="s">
        <v>18</v>
      </c>
    </row>
    <row r="99" spans="3:5" x14ac:dyDescent="0.35">
      <c r="C99">
        <v>212</v>
      </c>
      <c r="E99" t="s">
        <v>375</v>
      </c>
    </row>
    <row r="101" spans="3:5" x14ac:dyDescent="0.35">
      <c r="D101">
        <v>2121</v>
      </c>
      <c r="E101" t="s">
        <v>19</v>
      </c>
    </row>
    <row r="102" spans="3:5" x14ac:dyDescent="0.35">
      <c r="D102">
        <v>2122</v>
      </c>
      <c r="E102" t="s">
        <v>20</v>
      </c>
    </row>
    <row r="103" spans="3:5" x14ac:dyDescent="0.35">
      <c r="D103">
        <v>2123</v>
      </c>
      <c r="E103" t="s">
        <v>21</v>
      </c>
    </row>
    <row r="104" spans="3:5" x14ac:dyDescent="0.35">
      <c r="D104">
        <v>2124</v>
      </c>
      <c r="E104" t="s">
        <v>22</v>
      </c>
    </row>
    <row r="105" spans="3:5" x14ac:dyDescent="0.35">
      <c r="D105">
        <v>2125</v>
      </c>
      <c r="E105" t="s">
        <v>23</v>
      </c>
    </row>
    <row r="106" spans="3:5" x14ac:dyDescent="0.35">
      <c r="D106">
        <v>2126</v>
      </c>
      <c r="E106" t="s">
        <v>24</v>
      </c>
    </row>
    <row r="107" spans="3:5" x14ac:dyDescent="0.35">
      <c r="D107">
        <v>2127</v>
      </c>
      <c r="E107" t="s">
        <v>25</v>
      </c>
    </row>
    <row r="108" spans="3:5" x14ac:dyDescent="0.35">
      <c r="D108">
        <v>2129</v>
      </c>
      <c r="E108" t="s">
        <v>26</v>
      </c>
    </row>
    <row r="110" spans="3:5" x14ac:dyDescent="0.35">
      <c r="C110">
        <v>213</v>
      </c>
      <c r="E110" t="s">
        <v>376</v>
      </c>
    </row>
    <row r="112" spans="3:5" x14ac:dyDescent="0.35">
      <c r="D112">
        <v>2131</v>
      </c>
      <c r="E112" t="s">
        <v>27</v>
      </c>
    </row>
    <row r="113" spans="3:5" x14ac:dyDescent="0.35">
      <c r="D113">
        <v>2132</v>
      </c>
      <c r="E113" t="s">
        <v>28</v>
      </c>
    </row>
    <row r="114" spans="3:5" x14ac:dyDescent="0.35">
      <c r="D114">
        <v>2133</v>
      </c>
      <c r="E114" t="s">
        <v>29</v>
      </c>
    </row>
    <row r="115" spans="3:5" x14ac:dyDescent="0.35">
      <c r="D115">
        <v>2134</v>
      </c>
      <c r="E115" t="s">
        <v>125</v>
      </c>
    </row>
    <row r="116" spans="3:5" x14ac:dyDescent="0.35">
      <c r="D116">
        <v>2135</v>
      </c>
      <c r="E116" t="s">
        <v>30</v>
      </c>
    </row>
    <row r="117" spans="3:5" x14ac:dyDescent="0.35">
      <c r="D117">
        <v>2136</v>
      </c>
      <c r="E117" t="s">
        <v>31</v>
      </c>
    </row>
    <row r="118" spans="3:5" x14ac:dyDescent="0.35">
      <c r="D118">
        <v>2137</v>
      </c>
      <c r="E118" t="s">
        <v>32</v>
      </c>
    </row>
    <row r="119" spans="3:5" x14ac:dyDescent="0.35">
      <c r="D119">
        <v>2139</v>
      </c>
      <c r="E119" t="s">
        <v>33</v>
      </c>
    </row>
    <row r="121" spans="3:5" x14ac:dyDescent="0.35">
      <c r="C121">
        <v>214</v>
      </c>
      <c r="E121" t="s">
        <v>377</v>
      </c>
    </row>
    <row r="123" spans="3:5" x14ac:dyDescent="0.35">
      <c r="D123">
        <v>2141</v>
      </c>
      <c r="E123" t="s">
        <v>378</v>
      </c>
    </row>
    <row r="124" spans="3:5" x14ac:dyDescent="0.35">
      <c r="D124">
        <v>2142</v>
      </c>
      <c r="E124" t="s">
        <v>280</v>
      </c>
    </row>
    <row r="126" spans="3:5" x14ac:dyDescent="0.35">
      <c r="C126">
        <v>215</v>
      </c>
      <c r="E126" t="s">
        <v>379</v>
      </c>
    </row>
    <row r="128" spans="3:5" x14ac:dyDescent="0.35">
      <c r="D128">
        <v>2151</v>
      </c>
      <c r="E128" t="s">
        <v>34</v>
      </c>
    </row>
    <row r="129" spans="2:5" x14ac:dyDescent="0.35">
      <c r="D129">
        <v>2152</v>
      </c>
      <c r="E129" t="s">
        <v>35</v>
      </c>
    </row>
    <row r="131" spans="2:5" x14ac:dyDescent="0.35">
      <c r="C131">
        <v>216</v>
      </c>
      <c r="E131" t="s">
        <v>380</v>
      </c>
    </row>
    <row r="133" spans="2:5" x14ac:dyDescent="0.35">
      <c r="D133">
        <v>2161</v>
      </c>
      <c r="E133" t="s">
        <v>296</v>
      </c>
    </row>
    <row r="134" spans="2:5" x14ac:dyDescent="0.35">
      <c r="D134">
        <v>2162</v>
      </c>
      <c r="E134" t="s">
        <v>36</v>
      </c>
    </row>
    <row r="136" spans="2:5" x14ac:dyDescent="0.35">
      <c r="B136">
        <v>22</v>
      </c>
      <c r="E136" t="s">
        <v>381</v>
      </c>
    </row>
    <row r="138" spans="2:5" x14ac:dyDescent="0.35">
      <c r="C138">
        <v>221</v>
      </c>
      <c r="E138" t="s">
        <v>382</v>
      </c>
    </row>
    <row r="140" spans="2:5" x14ac:dyDescent="0.35">
      <c r="D140">
        <v>2211</v>
      </c>
      <c r="E140" t="s">
        <v>37</v>
      </c>
    </row>
    <row r="141" spans="2:5" x14ac:dyDescent="0.35">
      <c r="D141">
        <v>2212</v>
      </c>
      <c r="E141" t="s">
        <v>38</v>
      </c>
    </row>
    <row r="143" spans="2:5" x14ac:dyDescent="0.35">
      <c r="C143">
        <v>222</v>
      </c>
      <c r="E143" t="s">
        <v>383</v>
      </c>
    </row>
    <row r="145" spans="3:7" x14ac:dyDescent="0.35">
      <c r="D145">
        <v>2221</v>
      </c>
      <c r="E145" t="s">
        <v>39</v>
      </c>
    </row>
    <row r="146" spans="3:7" x14ac:dyDescent="0.35">
      <c r="D146">
        <v>2222</v>
      </c>
      <c r="E146" t="s">
        <v>40</v>
      </c>
    </row>
    <row r="147" spans="3:7" x14ac:dyDescent="0.35">
      <c r="D147">
        <v>2223</v>
      </c>
      <c r="E147" t="s">
        <v>41</v>
      </c>
    </row>
    <row r="148" spans="3:7" x14ac:dyDescent="0.35">
      <c r="D148">
        <v>2224</v>
      </c>
      <c r="E148" t="s">
        <v>42</v>
      </c>
    </row>
    <row r="149" spans="3:7" x14ac:dyDescent="0.35">
      <c r="D149">
        <v>2225</v>
      </c>
      <c r="E149" t="s">
        <v>43</v>
      </c>
    </row>
    <row r="150" spans="3:7" x14ac:dyDescent="0.35">
      <c r="D150">
        <v>2226</v>
      </c>
      <c r="E150" t="s">
        <v>44</v>
      </c>
    </row>
    <row r="151" spans="3:7" x14ac:dyDescent="0.35">
      <c r="D151">
        <v>2229</v>
      </c>
      <c r="E151" t="s">
        <v>45</v>
      </c>
    </row>
    <row r="153" spans="3:7" x14ac:dyDescent="0.35">
      <c r="C153">
        <v>223</v>
      </c>
      <c r="E153" t="s">
        <v>384</v>
      </c>
    </row>
    <row r="155" spans="3:7" x14ac:dyDescent="0.35">
      <c r="D155">
        <v>2231</v>
      </c>
      <c r="E155" t="s">
        <v>46</v>
      </c>
    </row>
    <row r="156" spans="3:7" x14ac:dyDescent="0.35">
      <c r="D156">
        <v>2232</v>
      </c>
      <c r="E156" t="s">
        <v>297</v>
      </c>
      <c r="F156" t="s">
        <v>385</v>
      </c>
      <c r="G156" s="2">
        <v>44799</v>
      </c>
    </row>
    <row r="157" spans="3:7" x14ac:dyDescent="0.35">
      <c r="D157">
        <v>2233</v>
      </c>
      <c r="E157" t="s">
        <v>298</v>
      </c>
      <c r="F157" t="s">
        <v>386</v>
      </c>
      <c r="G157" s="2">
        <v>44799</v>
      </c>
    </row>
    <row r="158" spans="3:7" x14ac:dyDescent="0.35">
      <c r="D158">
        <v>2234</v>
      </c>
      <c r="E158" t="s">
        <v>299</v>
      </c>
      <c r="F158" t="s">
        <v>387</v>
      </c>
      <c r="G158" s="2">
        <v>44799</v>
      </c>
    </row>
    <row r="159" spans="3:7" x14ac:dyDescent="0.35">
      <c r="D159">
        <v>2235</v>
      </c>
      <c r="E159" t="s">
        <v>300</v>
      </c>
      <c r="F159" t="s">
        <v>388</v>
      </c>
      <c r="G159" s="2">
        <v>44799</v>
      </c>
    </row>
    <row r="160" spans="3:7" x14ac:dyDescent="0.35">
      <c r="D160">
        <v>2236</v>
      </c>
      <c r="E160" t="s">
        <v>301</v>
      </c>
      <c r="F160" t="s">
        <v>389</v>
      </c>
      <c r="G160" s="2">
        <v>44799</v>
      </c>
    </row>
    <row r="161" spans="3:7" x14ac:dyDescent="0.35">
      <c r="D161">
        <v>2237</v>
      </c>
      <c r="E161" t="s">
        <v>302</v>
      </c>
      <c r="F161" t="s">
        <v>390</v>
      </c>
      <c r="G161" s="2">
        <v>44799</v>
      </c>
    </row>
    <row r="163" spans="3:7" x14ac:dyDescent="0.35">
      <c r="C163">
        <v>224</v>
      </c>
      <c r="E163" t="s">
        <v>47</v>
      </c>
    </row>
    <row r="165" spans="3:7" x14ac:dyDescent="0.35">
      <c r="D165">
        <v>2240</v>
      </c>
      <c r="E165" t="s">
        <v>47</v>
      </c>
    </row>
    <row r="167" spans="3:7" x14ac:dyDescent="0.35">
      <c r="C167">
        <v>225</v>
      </c>
      <c r="E167" t="s">
        <v>391</v>
      </c>
    </row>
    <row r="169" spans="3:7" x14ac:dyDescent="0.35">
      <c r="D169">
        <v>2251</v>
      </c>
      <c r="E169" t="s">
        <v>48</v>
      </c>
    </row>
    <row r="170" spans="3:7" x14ac:dyDescent="0.35">
      <c r="D170">
        <v>2252</v>
      </c>
      <c r="E170" t="s">
        <v>49</v>
      </c>
      <c r="F170" t="s">
        <v>392</v>
      </c>
      <c r="G170" s="2">
        <v>44070</v>
      </c>
    </row>
    <row r="171" spans="3:7" x14ac:dyDescent="0.35">
      <c r="D171">
        <v>2253</v>
      </c>
      <c r="E171" t="s">
        <v>50</v>
      </c>
    </row>
    <row r="172" spans="3:7" x14ac:dyDescent="0.35">
      <c r="D172">
        <v>2254</v>
      </c>
      <c r="E172" t="s">
        <v>51</v>
      </c>
    </row>
    <row r="173" spans="3:7" x14ac:dyDescent="0.35">
      <c r="D173">
        <v>2255</v>
      </c>
      <c r="E173" t="s">
        <v>52</v>
      </c>
    </row>
    <row r="174" spans="3:7" x14ac:dyDescent="0.35">
      <c r="D174">
        <v>2256</v>
      </c>
      <c r="E174" t="s">
        <v>53</v>
      </c>
    </row>
    <row r="175" spans="3:7" x14ac:dyDescent="0.35">
      <c r="D175">
        <v>2259</v>
      </c>
      <c r="E175" t="s">
        <v>54</v>
      </c>
    </row>
    <row r="177" spans="2:7" x14ac:dyDescent="0.35">
      <c r="B177">
        <v>23</v>
      </c>
      <c r="E177" t="s">
        <v>393</v>
      </c>
    </row>
    <row r="179" spans="2:7" x14ac:dyDescent="0.35">
      <c r="C179">
        <v>231</v>
      </c>
      <c r="E179" t="s">
        <v>394</v>
      </c>
    </row>
    <row r="181" spans="2:7" x14ac:dyDescent="0.35">
      <c r="D181">
        <v>2311</v>
      </c>
      <c r="E181" t="s">
        <v>55</v>
      </c>
    </row>
    <row r="182" spans="2:7" x14ac:dyDescent="0.35">
      <c r="D182">
        <v>2312</v>
      </c>
      <c r="E182" t="s">
        <v>303</v>
      </c>
    </row>
    <row r="183" spans="2:7" x14ac:dyDescent="0.35">
      <c r="D183">
        <v>2313</v>
      </c>
      <c r="E183" t="s">
        <v>56</v>
      </c>
    </row>
    <row r="184" spans="2:7" x14ac:dyDescent="0.35">
      <c r="D184">
        <v>2314</v>
      </c>
      <c r="E184" t="s">
        <v>395</v>
      </c>
    </row>
    <row r="185" spans="2:7" x14ac:dyDescent="0.35">
      <c r="D185">
        <v>2315</v>
      </c>
      <c r="E185" t="s">
        <v>396</v>
      </c>
    </row>
    <row r="186" spans="2:7" x14ac:dyDescent="0.35">
      <c r="D186">
        <v>2316</v>
      </c>
      <c r="E186" t="s">
        <v>397</v>
      </c>
      <c r="F186" t="s">
        <v>398</v>
      </c>
      <c r="G186" s="2">
        <v>44799</v>
      </c>
    </row>
    <row r="187" spans="2:7" x14ac:dyDescent="0.35">
      <c r="D187">
        <v>2317</v>
      </c>
      <c r="E187" t="s">
        <v>399</v>
      </c>
    </row>
    <row r="188" spans="2:7" x14ac:dyDescent="0.35">
      <c r="D188">
        <v>2319</v>
      </c>
      <c r="E188" t="s">
        <v>400</v>
      </c>
    </row>
    <row r="190" spans="2:7" x14ac:dyDescent="0.35">
      <c r="C190">
        <v>232</v>
      </c>
      <c r="E190" t="s">
        <v>401</v>
      </c>
    </row>
    <row r="192" spans="2:7" x14ac:dyDescent="0.35">
      <c r="D192">
        <v>2321</v>
      </c>
      <c r="E192" t="s">
        <v>402</v>
      </c>
    </row>
    <row r="193" spans="2:5" x14ac:dyDescent="0.35">
      <c r="D193">
        <v>2322</v>
      </c>
      <c r="E193" t="s">
        <v>403</v>
      </c>
    </row>
    <row r="194" spans="2:5" x14ac:dyDescent="0.35">
      <c r="D194">
        <v>2323</v>
      </c>
      <c r="E194" t="s">
        <v>404</v>
      </c>
    </row>
    <row r="195" spans="2:5" x14ac:dyDescent="0.35">
      <c r="D195">
        <v>2324</v>
      </c>
      <c r="E195" t="s">
        <v>405</v>
      </c>
    </row>
    <row r="196" spans="2:5" x14ac:dyDescent="0.35">
      <c r="D196">
        <v>2329</v>
      </c>
      <c r="E196" t="s">
        <v>406</v>
      </c>
    </row>
    <row r="198" spans="2:5" x14ac:dyDescent="0.35">
      <c r="B198">
        <v>24</v>
      </c>
      <c r="E198" t="s">
        <v>407</v>
      </c>
    </row>
    <row r="200" spans="2:5" x14ac:dyDescent="0.35">
      <c r="C200">
        <v>241</v>
      </c>
      <c r="E200" t="s">
        <v>408</v>
      </c>
    </row>
    <row r="202" spans="2:5" x14ac:dyDescent="0.35">
      <c r="D202">
        <v>2411</v>
      </c>
      <c r="E202" t="s">
        <v>409</v>
      </c>
    </row>
    <row r="203" spans="2:5" x14ac:dyDescent="0.35">
      <c r="D203">
        <v>2412</v>
      </c>
      <c r="E203" t="s">
        <v>410</v>
      </c>
    </row>
    <row r="204" spans="2:5" x14ac:dyDescent="0.35">
      <c r="D204">
        <v>2419</v>
      </c>
      <c r="E204" t="s">
        <v>248</v>
      </c>
    </row>
    <row r="206" spans="2:5" x14ac:dyDescent="0.35">
      <c r="C206">
        <v>242</v>
      </c>
      <c r="E206" t="s">
        <v>411</v>
      </c>
    </row>
    <row r="208" spans="2:5" x14ac:dyDescent="0.35">
      <c r="D208">
        <v>2421</v>
      </c>
      <c r="E208" t="s">
        <v>57</v>
      </c>
    </row>
    <row r="209" spans="3:5" x14ac:dyDescent="0.35">
      <c r="D209">
        <v>2422</v>
      </c>
      <c r="E209" t="s">
        <v>58</v>
      </c>
    </row>
    <row r="210" spans="3:5" x14ac:dyDescent="0.35">
      <c r="D210">
        <v>2423</v>
      </c>
      <c r="E210" t="s">
        <v>59</v>
      </c>
    </row>
    <row r="212" spans="3:5" x14ac:dyDescent="0.35">
      <c r="C212">
        <v>243</v>
      </c>
      <c r="E212" t="s">
        <v>412</v>
      </c>
    </row>
    <row r="214" spans="3:5" x14ac:dyDescent="0.35">
      <c r="D214">
        <v>2431</v>
      </c>
      <c r="E214" t="s">
        <v>60</v>
      </c>
    </row>
    <row r="215" spans="3:5" x14ac:dyDescent="0.35">
      <c r="D215">
        <v>2432</v>
      </c>
      <c r="E215" t="s">
        <v>273</v>
      </c>
    </row>
    <row r="216" spans="3:5" x14ac:dyDescent="0.35">
      <c r="D216">
        <v>2433</v>
      </c>
      <c r="E216" t="s">
        <v>61</v>
      </c>
    </row>
    <row r="217" spans="3:5" x14ac:dyDescent="0.35">
      <c r="D217">
        <v>2434</v>
      </c>
      <c r="E217" t="s">
        <v>62</v>
      </c>
    </row>
    <row r="218" spans="3:5" x14ac:dyDescent="0.35">
      <c r="D218">
        <v>2435</v>
      </c>
      <c r="E218" t="s">
        <v>413</v>
      </c>
    </row>
    <row r="219" spans="3:5" x14ac:dyDescent="0.35">
      <c r="D219">
        <v>2439</v>
      </c>
      <c r="E219" t="s">
        <v>63</v>
      </c>
    </row>
    <row r="221" spans="3:5" x14ac:dyDescent="0.35">
      <c r="C221">
        <v>244</v>
      </c>
      <c r="E221" t="s">
        <v>414</v>
      </c>
    </row>
    <row r="223" spans="3:5" x14ac:dyDescent="0.35">
      <c r="D223">
        <v>2440</v>
      </c>
      <c r="E223" t="s">
        <v>64</v>
      </c>
    </row>
    <row r="225" spans="3:5" x14ac:dyDescent="0.35">
      <c r="C225">
        <v>245</v>
      </c>
      <c r="E225" t="s">
        <v>415</v>
      </c>
    </row>
    <row r="227" spans="3:5" x14ac:dyDescent="0.35">
      <c r="D227">
        <v>2451</v>
      </c>
      <c r="E227" t="s">
        <v>65</v>
      </c>
    </row>
    <row r="228" spans="3:5" x14ac:dyDescent="0.35">
      <c r="D228">
        <v>2452</v>
      </c>
      <c r="E228" t="s">
        <v>66</v>
      </c>
    </row>
    <row r="229" spans="3:5" x14ac:dyDescent="0.35">
      <c r="D229">
        <v>2453</v>
      </c>
      <c r="E229" t="s">
        <v>67</v>
      </c>
    </row>
    <row r="230" spans="3:5" x14ac:dyDescent="0.35">
      <c r="D230">
        <v>2454</v>
      </c>
      <c r="E230" t="s">
        <v>68</v>
      </c>
    </row>
    <row r="231" spans="3:5" x14ac:dyDescent="0.35">
      <c r="D231">
        <v>2455</v>
      </c>
      <c r="E231" t="s">
        <v>69</v>
      </c>
    </row>
    <row r="233" spans="3:5" x14ac:dyDescent="0.35">
      <c r="C233">
        <v>246</v>
      </c>
      <c r="E233" t="s">
        <v>416</v>
      </c>
    </row>
    <row r="235" spans="3:5" x14ac:dyDescent="0.35">
      <c r="D235">
        <v>2461</v>
      </c>
      <c r="E235" t="s">
        <v>135</v>
      </c>
    </row>
    <row r="236" spans="3:5" x14ac:dyDescent="0.35">
      <c r="D236">
        <v>2462</v>
      </c>
      <c r="E236" t="s">
        <v>417</v>
      </c>
    </row>
    <row r="237" spans="3:5" x14ac:dyDescent="0.35">
      <c r="D237">
        <v>2463</v>
      </c>
      <c r="E237" t="s">
        <v>418</v>
      </c>
    </row>
    <row r="238" spans="3:5" x14ac:dyDescent="0.35">
      <c r="D238">
        <v>2464</v>
      </c>
      <c r="E238" t="s">
        <v>419</v>
      </c>
    </row>
    <row r="239" spans="3:5" x14ac:dyDescent="0.35">
      <c r="D239">
        <v>2469</v>
      </c>
      <c r="E239" t="s">
        <v>136</v>
      </c>
    </row>
    <row r="241" spans="3:7" x14ac:dyDescent="0.35">
      <c r="C241">
        <v>247</v>
      </c>
      <c r="E241" t="s">
        <v>420</v>
      </c>
    </row>
    <row r="243" spans="3:7" x14ac:dyDescent="0.35">
      <c r="D243">
        <v>2471</v>
      </c>
      <c r="E243" t="s">
        <v>421</v>
      </c>
    </row>
    <row r="244" spans="3:7" x14ac:dyDescent="0.35">
      <c r="D244">
        <v>2472</v>
      </c>
      <c r="E244" t="s">
        <v>422</v>
      </c>
      <c r="F244" t="s">
        <v>423</v>
      </c>
      <c r="G244" s="2">
        <v>44799</v>
      </c>
    </row>
    <row r="246" spans="3:7" x14ac:dyDescent="0.35">
      <c r="C246">
        <v>248</v>
      </c>
      <c r="E246" t="s">
        <v>424</v>
      </c>
    </row>
    <row r="248" spans="3:7" x14ac:dyDescent="0.35">
      <c r="D248">
        <v>2481</v>
      </c>
      <c r="E248" t="s">
        <v>70</v>
      </c>
    </row>
    <row r="249" spans="3:7" x14ac:dyDescent="0.35">
      <c r="D249">
        <v>2482</v>
      </c>
      <c r="E249" t="s">
        <v>71</v>
      </c>
    </row>
    <row r="250" spans="3:7" x14ac:dyDescent="0.35">
      <c r="D250">
        <v>2483</v>
      </c>
      <c r="E250" t="s">
        <v>72</v>
      </c>
    </row>
    <row r="252" spans="3:7" x14ac:dyDescent="0.35">
      <c r="C252">
        <v>249</v>
      </c>
      <c r="E252" t="s">
        <v>425</v>
      </c>
    </row>
    <row r="254" spans="3:7" x14ac:dyDescent="0.35">
      <c r="D254">
        <v>2491</v>
      </c>
      <c r="E254" t="s">
        <v>426</v>
      </c>
      <c r="F254" t="s">
        <v>427</v>
      </c>
      <c r="G254" s="2">
        <v>44799</v>
      </c>
    </row>
    <row r="255" spans="3:7" x14ac:dyDescent="0.35">
      <c r="D255">
        <v>2492</v>
      </c>
      <c r="E255" t="s">
        <v>428</v>
      </c>
      <c r="F255" t="s">
        <v>429</v>
      </c>
      <c r="G255" s="2">
        <v>44799</v>
      </c>
    </row>
    <row r="256" spans="3:7" x14ac:dyDescent="0.35">
      <c r="D256">
        <v>2493</v>
      </c>
      <c r="E256" t="s">
        <v>247</v>
      </c>
    </row>
    <row r="257" spans="1:5" x14ac:dyDescent="0.35">
      <c r="D257">
        <v>2494</v>
      </c>
      <c r="E257" t="s">
        <v>430</v>
      </c>
    </row>
    <row r="259" spans="1:5" x14ac:dyDescent="0.35">
      <c r="A259">
        <v>3</v>
      </c>
      <c r="E259" t="s">
        <v>431</v>
      </c>
    </row>
    <row r="261" spans="1:5" x14ac:dyDescent="0.35">
      <c r="B261">
        <v>31</v>
      </c>
      <c r="E261" t="s">
        <v>432</v>
      </c>
    </row>
    <row r="263" spans="1:5" x14ac:dyDescent="0.35">
      <c r="C263">
        <v>311</v>
      </c>
      <c r="E263" t="s">
        <v>433</v>
      </c>
    </row>
    <row r="265" spans="1:5" x14ac:dyDescent="0.35">
      <c r="D265">
        <v>3111</v>
      </c>
      <c r="E265" t="s">
        <v>73</v>
      </c>
    </row>
    <row r="266" spans="1:5" x14ac:dyDescent="0.35">
      <c r="D266">
        <v>3112</v>
      </c>
      <c r="E266" t="s">
        <v>137</v>
      </c>
    </row>
    <row r="267" spans="1:5" x14ac:dyDescent="0.35">
      <c r="D267">
        <v>3113</v>
      </c>
      <c r="E267" t="s">
        <v>138</v>
      </c>
    </row>
    <row r="268" spans="1:5" x14ac:dyDescent="0.35">
      <c r="D268">
        <v>3114</v>
      </c>
      <c r="E268" t="s">
        <v>139</v>
      </c>
    </row>
    <row r="269" spans="1:5" x14ac:dyDescent="0.35">
      <c r="D269">
        <v>3115</v>
      </c>
      <c r="E269" t="s">
        <v>140</v>
      </c>
    </row>
    <row r="270" spans="1:5" x14ac:dyDescent="0.35">
      <c r="D270">
        <v>3116</v>
      </c>
      <c r="E270" t="s">
        <v>74</v>
      </c>
    </row>
    <row r="271" spans="1:5" x14ac:dyDescent="0.35">
      <c r="D271">
        <v>3119</v>
      </c>
      <c r="E271" t="s">
        <v>75</v>
      </c>
    </row>
    <row r="273" spans="2:5" x14ac:dyDescent="0.35">
      <c r="C273">
        <v>312</v>
      </c>
      <c r="E273" t="s">
        <v>434</v>
      </c>
    </row>
    <row r="275" spans="2:5" x14ac:dyDescent="0.35">
      <c r="D275">
        <v>3120</v>
      </c>
      <c r="E275" t="s">
        <v>76</v>
      </c>
    </row>
    <row r="277" spans="2:5" x14ac:dyDescent="0.35">
      <c r="C277">
        <v>313</v>
      </c>
      <c r="E277" t="s">
        <v>435</v>
      </c>
    </row>
    <row r="279" spans="2:5" x14ac:dyDescent="0.35">
      <c r="D279">
        <v>3131</v>
      </c>
      <c r="E279" t="s">
        <v>77</v>
      </c>
    </row>
    <row r="280" spans="2:5" x14ac:dyDescent="0.35">
      <c r="D280">
        <v>3132</v>
      </c>
      <c r="E280" t="s">
        <v>78</v>
      </c>
    </row>
    <row r="281" spans="2:5" x14ac:dyDescent="0.35">
      <c r="D281">
        <v>3133</v>
      </c>
      <c r="E281" t="s">
        <v>79</v>
      </c>
    </row>
    <row r="283" spans="2:5" x14ac:dyDescent="0.35">
      <c r="B283">
        <v>32</v>
      </c>
      <c r="E283" t="s">
        <v>436</v>
      </c>
    </row>
    <row r="285" spans="2:5" x14ac:dyDescent="0.35">
      <c r="C285">
        <v>321</v>
      </c>
      <c r="E285" t="s">
        <v>437</v>
      </c>
    </row>
    <row r="287" spans="2:5" x14ac:dyDescent="0.35">
      <c r="D287">
        <v>3211</v>
      </c>
      <c r="E287" t="s">
        <v>80</v>
      </c>
    </row>
    <row r="288" spans="2:5" x14ac:dyDescent="0.35">
      <c r="D288">
        <v>3212</v>
      </c>
      <c r="E288" t="s">
        <v>81</v>
      </c>
    </row>
    <row r="289" spans="3:5" x14ac:dyDescent="0.35">
      <c r="D289">
        <v>3213</v>
      </c>
      <c r="E289" t="s">
        <v>82</v>
      </c>
    </row>
    <row r="290" spans="3:5" x14ac:dyDescent="0.35">
      <c r="D290">
        <v>3214</v>
      </c>
      <c r="E290" t="s">
        <v>83</v>
      </c>
    </row>
    <row r="291" spans="3:5" x14ac:dyDescent="0.35">
      <c r="D291">
        <v>3219</v>
      </c>
      <c r="E291" t="s">
        <v>84</v>
      </c>
    </row>
    <row r="293" spans="3:5" x14ac:dyDescent="0.35">
      <c r="C293">
        <v>322</v>
      </c>
      <c r="E293" t="s">
        <v>438</v>
      </c>
    </row>
    <row r="295" spans="3:5" x14ac:dyDescent="0.35">
      <c r="D295">
        <v>3221</v>
      </c>
      <c r="E295" t="s">
        <v>143</v>
      </c>
    </row>
    <row r="296" spans="3:5" x14ac:dyDescent="0.35">
      <c r="D296">
        <v>3222</v>
      </c>
      <c r="E296" t="s">
        <v>439</v>
      </c>
    </row>
    <row r="297" spans="3:5" x14ac:dyDescent="0.35">
      <c r="D297">
        <v>3223</v>
      </c>
      <c r="E297" t="s">
        <v>440</v>
      </c>
    </row>
    <row r="298" spans="3:5" x14ac:dyDescent="0.35">
      <c r="D298">
        <v>3224</v>
      </c>
      <c r="E298" t="s">
        <v>144</v>
      </c>
    </row>
    <row r="299" spans="3:5" x14ac:dyDescent="0.35">
      <c r="D299">
        <v>3229</v>
      </c>
      <c r="E299" t="s">
        <v>441</v>
      </c>
    </row>
    <row r="301" spans="3:5" x14ac:dyDescent="0.35">
      <c r="C301">
        <v>323</v>
      </c>
      <c r="E301" t="s">
        <v>442</v>
      </c>
    </row>
    <row r="303" spans="3:5" x14ac:dyDescent="0.35">
      <c r="D303">
        <v>3231</v>
      </c>
      <c r="E303" t="s">
        <v>443</v>
      </c>
    </row>
    <row r="304" spans="3:5" x14ac:dyDescent="0.35">
      <c r="D304">
        <v>3232</v>
      </c>
      <c r="E304" t="s">
        <v>444</v>
      </c>
    </row>
    <row r="306" spans="2:5" x14ac:dyDescent="0.35">
      <c r="C306">
        <v>324</v>
      </c>
      <c r="E306" t="s">
        <v>304</v>
      </c>
    </row>
    <row r="308" spans="2:5" x14ac:dyDescent="0.35">
      <c r="D308">
        <v>3240</v>
      </c>
      <c r="E308" t="s">
        <v>304</v>
      </c>
    </row>
    <row r="310" spans="2:5" x14ac:dyDescent="0.35">
      <c r="B310">
        <v>33</v>
      </c>
      <c r="E310" t="s">
        <v>445</v>
      </c>
    </row>
    <row r="312" spans="2:5" x14ac:dyDescent="0.35">
      <c r="C312">
        <v>331</v>
      </c>
      <c r="E312" t="s">
        <v>446</v>
      </c>
    </row>
    <row r="314" spans="2:5" x14ac:dyDescent="0.35">
      <c r="D314">
        <v>3311</v>
      </c>
      <c r="E314" t="s">
        <v>305</v>
      </c>
    </row>
    <row r="315" spans="2:5" x14ac:dyDescent="0.35">
      <c r="D315">
        <v>3312</v>
      </c>
      <c r="E315" t="s">
        <v>447</v>
      </c>
    </row>
    <row r="316" spans="2:5" x14ac:dyDescent="0.35">
      <c r="D316">
        <v>3313</v>
      </c>
      <c r="E316" t="s">
        <v>256</v>
      </c>
    </row>
    <row r="317" spans="2:5" x14ac:dyDescent="0.35">
      <c r="D317">
        <v>3314</v>
      </c>
      <c r="E317" t="s">
        <v>448</v>
      </c>
    </row>
    <row r="318" spans="2:5" x14ac:dyDescent="0.35">
      <c r="D318">
        <v>3319</v>
      </c>
      <c r="E318" t="s">
        <v>258</v>
      </c>
    </row>
    <row r="320" spans="2:5" x14ac:dyDescent="0.35">
      <c r="B320">
        <v>34</v>
      </c>
      <c r="E320" t="s">
        <v>449</v>
      </c>
    </row>
    <row r="322" spans="3:5" x14ac:dyDescent="0.35">
      <c r="C322">
        <v>341</v>
      </c>
      <c r="E322" t="s">
        <v>450</v>
      </c>
    </row>
    <row r="324" spans="3:5" x14ac:dyDescent="0.35">
      <c r="D324">
        <v>3411</v>
      </c>
      <c r="E324" t="s">
        <v>451</v>
      </c>
    </row>
    <row r="325" spans="3:5" x14ac:dyDescent="0.35">
      <c r="D325">
        <v>3412</v>
      </c>
      <c r="E325" t="s">
        <v>452</v>
      </c>
    </row>
    <row r="326" spans="3:5" x14ac:dyDescent="0.35">
      <c r="D326">
        <v>3413</v>
      </c>
      <c r="E326" t="s">
        <v>453</v>
      </c>
    </row>
    <row r="327" spans="3:5" x14ac:dyDescent="0.35">
      <c r="D327">
        <v>3414</v>
      </c>
      <c r="E327" t="s">
        <v>454</v>
      </c>
    </row>
    <row r="328" spans="3:5" x14ac:dyDescent="0.35">
      <c r="D328">
        <v>3415</v>
      </c>
      <c r="E328" t="s">
        <v>455</v>
      </c>
    </row>
    <row r="329" spans="3:5" x14ac:dyDescent="0.35">
      <c r="D329">
        <v>3416</v>
      </c>
      <c r="E329" t="s">
        <v>456</v>
      </c>
    </row>
    <row r="330" spans="3:5" x14ac:dyDescent="0.35">
      <c r="D330">
        <v>3417</v>
      </c>
      <c r="E330" t="s">
        <v>306</v>
      </c>
    </row>
    <row r="332" spans="3:5" x14ac:dyDescent="0.35">
      <c r="C332">
        <v>342</v>
      </c>
      <c r="E332" t="s">
        <v>457</v>
      </c>
    </row>
    <row r="334" spans="3:5" x14ac:dyDescent="0.35">
      <c r="D334">
        <v>3421</v>
      </c>
      <c r="E334" t="s">
        <v>458</v>
      </c>
    </row>
    <row r="335" spans="3:5" x14ac:dyDescent="0.35">
      <c r="D335">
        <v>3422</v>
      </c>
      <c r="E335" t="s">
        <v>459</v>
      </c>
    </row>
    <row r="336" spans="3:5" x14ac:dyDescent="0.35">
      <c r="D336">
        <v>3429</v>
      </c>
      <c r="E336" t="s">
        <v>272</v>
      </c>
    </row>
    <row r="338" spans="2:5" x14ac:dyDescent="0.35">
      <c r="C338">
        <v>343</v>
      </c>
      <c r="E338" t="s">
        <v>460</v>
      </c>
    </row>
    <row r="340" spans="2:5" x14ac:dyDescent="0.35">
      <c r="D340">
        <v>3431</v>
      </c>
      <c r="E340" t="s">
        <v>461</v>
      </c>
    </row>
    <row r="341" spans="2:5" x14ac:dyDescent="0.35">
      <c r="D341">
        <v>3432</v>
      </c>
      <c r="E341" t="s">
        <v>462</v>
      </c>
    </row>
    <row r="342" spans="2:5" x14ac:dyDescent="0.35">
      <c r="D342">
        <v>3433</v>
      </c>
      <c r="E342" t="s">
        <v>307</v>
      </c>
    </row>
    <row r="344" spans="2:5" x14ac:dyDescent="0.35">
      <c r="B344">
        <v>35</v>
      </c>
      <c r="E344" t="s">
        <v>463</v>
      </c>
    </row>
    <row r="346" spans="2:5" x14ac:dyDescent="0.35">
      <c r="C346">
        <v>351</v>
      </c>
      <c r="E346" t="s">
        <v>464</v>
      </c>
    </row>
    <row r="348" spans="2:5" x14ac:dyDescent="0.35">
      <c r="D348">
        <v>3511</v>
      </c>
      <c r="E348" t="s">
        <v>308</v>
      </c>
    </row>
    <row r="349" spans="2:5" x14ac:dyDescent="0.35">
      <c r="D349">
        <v>3512</v>
      </c>
      <c r="E349" t="s">
        <v>147</v>
      </c>
    </row>
    <row r="351" spans="2:5" x14ac:dyDescent="0.35">
      <c r="C351">
        <v>352</v>
      </c>
      <c r="E351" t="s">
        <v>465</v>
      </c>
    </row>
    <row r="353" spans="3:5" x14ac:dyDescent="0.35">
      <c r="D353">
        <v>3520</v>
      </c>
      <c r="E353" t="s">
        <v>466</v>
      </c>
    </row>
    <row r="355" spans="3:5" x14ac:dyDescent="0.35">
      <c r="C355">
        <v>353</v>
      </c>
      <c r="E355" t="s">
        <v>467</v>
      </c>
    </row>
    <row r="357" spans="3:5" x14ac:dyDescent="0.35">
      <c r="D357">
        <v>3531</v>
      </c>
      <c r="E357" t="s">
        <v>85</v>
      </c>
    </row>
    <row r="358" spans="3:5" x14ac:dyDescent="0.35">
      <c r="D358">
        <v>3532</v>
      </c>
      <c r="E358" t="s">
        <v>86</v>
      </c>
    </row>
    <row r="359" spans="3:5" x14ac:dyDescent="0.35">
      <c r="D359">
        <v>3533</v>
      </c>
      <c r="E359" t="s">
        <v>87</v>
      </c>
    </row>
    <row r="360" spans="3:5" x14ac:dyDescent="0.35">
      <c r="D360">
        <v>3534</v>
      </c>
      <c r="E360" t="s">
        <v>468</v>
      </c>
    </row>
    <row r="362" spans="3:5" x14ac:dyDescent="0.35">
      <c r="C362">
        <v>354</v>
      </c>
      <c r="E362" t="s">
        <v>469</v>
      </c>
    </row>
    <row r="364" spans="3:5" x14ac:dyDescent="0.35">
      <c r="D364">
        <v>3541</v>
      </c>
      <c r="E364" t="s">
        <v>88</v>
      </c>
    </row>
    <row r="365" spans="3:5" x14ac:dyDescent="0.35">
      <c r="D365">
        <v>3542</v>
      </c>
      <c r="E365" t="s">
        <v>89</v>
      </c>
    </row>
    <row r="366" spans="3:5" x14ac:dyDescent="0.35">
      <c r="D366">
        <v>3543</v>
      </c>
      <c r="E366" t="s">
        <v>470</v>
      </c>
    </row>
    <row r="367" spans="3:5" x14ac:dyDescent="0.35">
      <c r="D367">
        <v>3544</v>
      </c>
      <c r="E367" t="s">
        <v>90</v>
      </c>
    </row>
    <row r="368" spans="3:5" x14ac:dyDescent="0.35">
      <c r="D368">
        <v>3549</v>
      </c>
      <c r="E368" t="s">
        <v>91</v>
      </c>
    </row>
    <row r="370" spans="3:7" x14ac:dyDescent="0.35">
      <c r="C370">
        <v>355</v>
      </c>
      <c r="E370" t="s">
        <v>471</v>
      </c>
    </row>
    <row r="372" spans="3:7" x14ac:dyDescent="0.35">
      <c r="D372">
        <v>3551</v>
      </c>
      <c r="E372" t="s">
        <v>287</v>
      </c>
    </row>
    <row r="373" spans="3:7" x14ac:dyDescent="0.35">
      <c r="D373">
        <v>3552</v>
      </c>
      <c r="E373" t="s">
        <v>472</v>
      </c>
    </row>
    <row r="374" spans="3:7" x14ac:dyDescent="0.35">
      <c r="D374">
        <v>3553</v>
      </c>
      <c r="E374" t="s">
        <v>473</v>
      </c>
    </row>
    <row r="375" spans="3:7" x14ac:dyDescent="0.35">
      <c r="D375">
        <v>3554</v>
      </c>
      <c r="E375" t="s">
        <v>474</v>
      </c>
      <c r="F375" t="s">
        <v>475</v>
      </c>
      <c r="G375" s="2">
        <v>44799</v>
      </c>
    </row>
    <row r="376" spans="3:7" x14ac:dyDescent="0.35">
      <c r="D376">
        <v>3555</v>
      </c>
      <c r="E376" t="s">
        <v>476</v>
      </c>
    </row>
    <row r="377" spans="3:7" x14ac:dyDescent="0.35">
      <c r="D377">
        <v>3556</v>
      </c>
      <c r="E377" t="s">
        <v>245</v>
      </c>
    </row>
    <row r="378" spans="3:7" x14ac:dyDescent="0.35">
      <c r="D378">
        <v>3557</v>
      </c>
      <c r="E378" t="s">
        <v>477</v>
      </c>
      <c r="F378" t="s">
        <v>478</v>
      </c>
      <c r="G378" s="2">
        <v>44203</v>
      </c>
    </row>
    <row r="380" spans="3:7" x14ac:dyDescent="0.35">
      <c r="C380">
        <v>356</v>
      </c>
      <c r="E380" t="s">
        <v>479</v>
      </c>
    </row>
    <row r="382" spans="3:7" x14ac:dyDescent="0.35">
      <c r="D382">
        <v>3560</v>
      </c>
      <c r="E382" t="s">
        <v>480</v>
      </c>
    </row>
    <row r="384" spans="3:7" x14ac:dyDescent="0.35">
      <c r="C384">
        <v>357</v>
      </c>
      <c r="E384" t="s">
        <v>481</v>
      </c>
    </row>
    <row r="386" spans="1:5" x14ac:dyDescent="0.35">
      <c r="D386">
        <v>3571</v>
      </c>
      <c r="E386" t="s">
        <v>482</v>
      </c>
    </row>
    <row r="387" spans="1:5" x14ac:dyDescent="0.35">
      <c r="D387">
        <v>3572</v>
      </c>
      <c r="E387" t="s">
        <v>483</v>
      </c>
    </row>
    <row r="388" spans="1:5" x14ac:dyDescent="0.35">
      <c r="D388">
        <v>3573</v>
      </c>
      <c r="E388" t="s">
        <v>309</v>
      </c>
    </row>
    <row r="389" spans="1:5" x14ac:dyDescent="0.35">
      <c r="D389">
        <v>3574</v>
      </c>
      <c r="E389" t="s">
        <v>271</v>
      </c>
    </row>
    <row r="391" spans="1:5" x14ac:dyDescent="0.35">
      <c r="C391">
        <v>358</v>
      </c>
      <c r="E391" t="s">
        <v>484</v>
      </c>
    </row>
    <row r="393" spans="1:5" x14ac:dyDescent="0.35">
      <c r="D393">
        <v>3581</v>
      </c>
      <c r="E393" t="s">
        <v>310</v>
      </c>
    </row>
    <row r="394" spans="1:5" x14ac:dyDescent="0.35">
      <c r="D394">
        <v>3582</v>
      </c>
      <c r="E394" t="s">
        <v>311</v>
      </c>
    </row>
    <row r="396" spans="1:5" x14ac:dyDescent="0.35">
      <c r="A396">
        <v>4</v>
      </c>
      <c r="E396" t="s">
        <v>485</v>
      </c>
    </row>
    <row r="398" spans="1:5" x14ac:dyDescent="0.35">
      <c r="B398">
        <v>41</v>
      </c>
      <c r="E398" t="s">
        <v>486</v>
      </c>
    </row>
    <row r="400" spans="1:5" x14ac:dyDescent="0.35">
      <c r="C400">
        <v>411</v>
      </c>
      <c r="E400" t="s">
        <v>487</v>
      </c>
    </row>
    <row r="402" spans="3:5" x14ac:dyDescent="0.35">
      <c r="D402">
        <v>4111</v>
      </c>
      <c r="E402" t="s">
        <v>488</v>
      </c>
    </row>
    <row r="403" spans="3:5" x14ac:dyDescent="0.35">
      <c r="D403">
        <v>4112</v>
      </c>
      <c r="E403" t="s">
        <v>489</v>
      </c>
    </row>
    <row r="404" spans="3:5" x14ac:dyDescent="0.35">
      <c r="D404">
        <v>4113</v>
      </c>
      <c r="E404" t="s">
        <v>490</v>
      </c>
    </row>
    <row r="406" spans="3:5" x14ac:dyDescent="0.35">
      <c r="C406">
        <v>412</v>
      </c>
      <c r="E406" t="s">
        <v>491</v>
      </c>
    </row>
    <row r="408" spans="3:5" x14ac:dyDescent="0.35">
      <c r="D408">
        <v>4121</v>
      </c>
      <c r="E408" t="s">
        <v>312</v>
      </c>
    </row>
    <row r="409" spans="3:5" x14ac:dyDescent="0.35">
      <c r="D409">
        <v>4122</v>
      </c>
      <c r="E409" t="s">
        <v>313</v>
      </c>
    </row>
    <row r="410" spans="3:5" x14ac:dyDescent="0.35">
      <c r="D410">
        <v>4123</v>
      </c>
      <c r="E410" t="s">
        <v>492</v>
      </c>
    </row>
    <row r="411" spans="3:5" x14ac:dyDescent="0.35">
      <c r="D411">
        <v>4124</v>
      </c>
      <c r="E411" t="s">
        <v>314</v>
      </c>
    </row>
    <row r="412" spans="3:5" x14ac:dyDescent="0.35">
      <c r="D412">
        <v>4129</v>
      </c>
      <c r="E412" t="s">
        <v>315</v>
      </c>
    </row>
    <row r="414" spans="3:5" x14ac:dyDescent="0.35">
      <c r="C414">
        <v>413</v>
      </c>
      <c r="E414" t="s">
        <v>493</v>
      </c>
    </row>
    <row r="416" spans="3:5" x14ac:dyDescent="0.35">
      <c r="D416">
        <v>4131</v>
      </c>
      <c r="E416" t="s">
        <v>244</v>
      </c>
    </row>
    <row r="417" spans="3:5" x14ac:dyDescent="0.35">
      <c r="D417">
        <v>4132</v>
      </c>
      <c r="E417" t="s">
        <v>494</v>
      </c>
    </row>
    <row r="418" spans="3:5" x14ac:dyDescent="0.35">
      <c r="D418">
        <v>4133</v>
      </c>
      <c r="E418" t="s">
        <v>251</v>
      </c>
    </row>
    <row r="419" spans="3:5" x14ac:dyDescent="0.35">
      <c r="D419">
        <v>4134</v>
      </c>
      <c r="E419" t="s">
        <v>257</v>
      </c>
    </row>
    <row r="420" spans="3:5" x14ac:dyDescent="0.35">
      <c r="D420">
        <v>4135</v>
      </c>
      <c r="E420" t="s">
        <v>495</v>
      </c>
    </row>
    <row r="421" spans="3:5" x14ac:dyDescent="0.35">
      <c r="D421">
        <v>4136</v>
      </c>
      <c r="E421" t="s">
        <v>496</v>
      </c>
    </row>
    <row r="423" spans="3:5" x14ac:dyDescent="0.35">
      <c r="C423">
        <v>414</v>
      </c>
      <c r="E423" t="s">
        <v>497</v>
      </c>
    </row>
    <row r="425" spans="3:5" x14ac:dyDescent="0.35">
      <c r="D425">
        <v>4141</v>
      </c>
      <c r="E425" t="s">
        <v>498</v>
      </c>
    </row>
    <row r="426" spans="3:5" x14ac:dyDescent="0.35">
      <c r="D426">
        <v>4142</v>
      </c>
      <c r="E426" t="s">
        <v>499</v>
      </c>
    </row>
    <row r="427" spans="3:5" x14ac:dyDescent="0.35">
      <c r="D427">
        <v>4143</v>
      </c>
      <c r="E427" t="s">
        <v>500</v>
      </c>
    </row>
    <row r="429" spans="3:5" x14ac:dyDescent="0.35">
      <c r="C429">
        <v>415</v>
      </c>
      <c r="E429" t="s">
        <v>501</v>
      </c>
    </row>
    <row r="431" spans="3:5" x14ac:dyDescent="0.35">
      <c r="D431">
        <v>4151</v>
      </c>
      <c r="E431" t="s">
        <v>502</v>
      </c>
    </row>
    <row r="432" spans="3:5" x14ac:dyDescent="0.35">
      <c r="D432">
        <v>4152</v>
      </c>
      <c r="E432" t="s">
        <v>503</v>
      </c>
    </row>
    <row r="433" spans="1:5" x14ac:dyDescent="0.35">
      <c r="D433">
        <v>4159</v>
      </c>
      <c r="E433" t="s">
        <v>260</v>
      </c>
    </row>
    <row r="435" spans="1:5" x14ac:dyDescent="0.35">
      <c r="B435">
        <v>42</v>
      </c>
      <c r="E435" t="s">
        <v>504</v>
      </c>
    </row>
    <row r="437" spans="1:5" x14ac:dyDescent="0.35">
      <c r="C437">
        <v>421</v>
      </c>
      <c r="E437" t="s">
        <v>505</v>
      </c>
    </row>
    <row r="439" spans="1:5" x14ac:dyDescent="0.35">
      <c r="D439">
        <v>4211</v>
      </c>
      <c r="E439" t="s">
        <v>506</v>
      </c>
    </row>
    <row r="440" spans="1:5" x14ac:dyDescent="0.35">
      <c r="D440">
        <v>4212</v>
      </c>
      <c r="E440" t="s">
        <v>507</v>
      </c>
    </row>
    <row r="441" spans="1:5" x14ac:dyDescent="0.35">
      <c r="D441">
        <v>4213</v>
      </c>
      <c r="E441" t="s">
        <v>508</v>
      </c>
    </row>
    <row r="442" spans="1:5" x14ac:dyDescent="0.35">
      <c r="D442">
        <v>4214</v>
      </c>
      <c r="E442" t="s">
        <v>509</v>
      </c>
    </row>
    <row r="443" spans="1:5" x14ac:dyDescent="0.35">
      <c r="D443">
        <v>4215</v>
      </c>
      <c r="E443" t="s">
        <v>510</v>
      </c>
    </row>
    <row r="444" spans="1:5" x14ac:dyDescent="0.35">
      <c r="D444">
        <v>4216</v>
      </c>
      <c r="E444" t="s">
        <v>511</v>
      </c>
    </row>
    <row r="445" spans="1:5" x14ac:dyDescent="0.35">
      <c r="D445">
        <v>4217</v>
      </c>
      <c r="E445" t="s">
        <v>512</v>
      </c>
    </row>
    <row r="447" spans="1:5" x14ac:dyDescent="0.35">
      <c r="A447">
        <v>5</v>
      </c>
      <c r="E447" t="s">
        <v>513</v>
      </c>
    </row>
    <row r="449" spans="2:5" x14ac:dyDescent="0.35">
      <c r="B449">
        <v>51</v>
      </c>
      <c r="E449" t="s">
        <v>514</v>
      </c>
    </row>
    <row r="451" spans="2:5" x14ac:dyDescent="0.35">
      <c r="C451">
        <v>511</v>
      </c>
      <c r="E451" t="s">
        <v>515</v>
      </c>
    </row>
    <row r="453" spans="2:5" x14ac:dyDescent="0.35">
      <c r="D453">
        <v>5111</v>
      </c>
      <c r="E453" t="s">
        <v>92</v>
      </c>
    </row>
    <row r="454" spans="2:5" x14ac:dyDescent="0.35">
      <c r="D454">
        <v>5112</v>
      </c>
      <c r="E454" t="s">
        <v>93</v>
      </c>
    </row>
    <row r="455" spans="2:5" x14ac:dyDescent="0.35">
      <c r="D455">
        <v>5113</v>
      </c>
      <c r="E455" t="s">
        <v>516</v>
      </c>
    </row>
    <row r="456" spans="2:5" x14ac:dyDescent="0.35">
      <c r="D456">
        <v>5114</v>
      </c>
      <c r="E456" t="s">
        <v>255</v>
      </c>
    </row>
    <row r="457" spans="2:5" x14ac:dyDescent="0.35">
      <c r="D457">
        <v>5119</v>
      </c>
      <c r="E457" t="s">
        <v>517</v>
      </c>
    </row>
    <row r="459" spans="2:5" x14ac:dyDescent="0.35">
      <c r="B459">
        <v>52</v>
      </c>
      <c r="E459" t="s">
        <v>518</v>
      </c>
    </row>
    <row r="461" spans="2:5" x14ac:dyDescent="0.35">
      <c r="C461">
        <v>521</v>
      </c>
      <c r="E461" t="s">
        <v>519</v>
      </c>
    </row>
    <row r="463" spans="2:5" x14ac:dyDescent="0.35">
      <c r="D463">
        <v>5211</v>
      </c>
      <c r="E463" t="s">
        <v>94</v>
      </c>
    </row>
    <row r="464" spans="2:5" x14ac:dyDescent="0.35">
      <c r="D464">
        <v>5212</v>
      </c>
      <c r="E464" t="s">
        <v>95</v>
      </c>
    </row>
    <row r="465" spans="3:5" x14ac:dyDescent="0.35">
      <c r="D465">
        <v>5213</v>
      </c>
      <c r="E465" t="s">
        <v>96</v>
      </c>
    </row>
    <row r="466" spans="3:5" x14ac:dyDescent="0.35">
      <c r="D466">
        <v>5214</v>
      </c>
      <c r="E466" t="s">
        <v>97</v>
      </c>
    </row>
    <row r="468" spans="3:5" x14ac:dyDescent="0.35">
      <c r="C468">
        <v>522</v>
      </c>
      <c r="E468" t="s">
        <v>520</v>
      </c>
    </row>
    <row r="470" spans="3:5" x14ac:dyDescent="0.35">
      <c r="D470">
        <v>5221</v>
      </c>
      <c r="E470" t="s">
        <v>98</v>
      </c>
    </row>
    <row r="471" spans="3:5" x14ac:dyDescent="0.35">
      <c r="D471">
        <v>5222</v>
      </c>
      <c r="E471" t="s">
        <v>99</v>
      </c>
    </row>
    <row r="472" spans="3:5" x14ac:dyDescent="0.35">
      <c r="D472">
        <v>5223</v>
      </c>
      <c r="E472" t="s">
        <v>100</v>
      </c>
    </row>
    <row r="473" spans="3:5" x14ac:dyDescent="0.35">
      <c r="D473">
        <v>5224</v>
      </c>
      <c r="E473" t="s">
        <v>101</v>
      </c>
    </row>
    <row r="474" spans="3:5" x14ac:dyDescent="0.35">
      <c r="D474">
        <v>5225</v>
      </c>
      <c r="E474" t="s">
        <v>102</v>
      </c>
    </row>
    <row r="476" spans="3:5" x14ac:dyDescent="0.35">
      <c r="C476">
        <v>523</v>
      </c>
      <c r="E476" t="s">
        <v>521</v>
      </c>
    </row>
    <row r="478" spans="3:5" x14ac:dyDescent="0.35">
      <c r="D478">
        <v>5231</v>
      </c>
      <c r="E478" t="s">
        <v>152</v>
      </c>
    </row>
    <row r="479" spans="3:5" x14ac:dyDescent="0.35">
      <c r="D479">
        <v>5232</v>
      </c>
      <c r="E479" t="s">
        <v>153</v>
      </c>
    </row>
    <row r="480" spans="3:5" x14ac:dyDescent="0.35">
      <c r="D480">
        <v>5233</v>
      </c>
      <c r="E480" t="s">
        <v>154</v>
      </c>
    </row>
    <row r="481" spans="3:5" x14ac:dyDescent="0.35">
      <c r="D481">
        <v>5234</v>
      </c>
      <c r="E481" t="s">
        <v>155</v>
      </c>
    </row>
    <row r="482" spans="3:5" x14ac:dyDescent="0.35">
      <c r="D482">
        <v>5235</v>
      </c>
      <c r="E482" t="s">
        <v>156</v>
      </c>
    </row>
    <row r="483" spans="3:5" x14ac:dyDescent="0.35">
      <c r="D483">
        <v>5236</v>
      </c>
      <c r="E483" t="s">
        <v>157</v>
      </c>
    </row>
    <row r="485" spans="3:5" x14ac:dyDescent="0.35">
      <c r="C485">
        <v>524</v>
      </c>
      <c r="E485" t="s">
        <v>522</v>
      </c>
    </row>
    <row r="487" spans="3:5" x14ac:dyDescent="0.35">
      <c r="D487">
        <v>5241</v>
      </c>
      <c r="E487" t="s">
        <v>103</v>
      </c>
    </row>
    <row r="488" spans="3:5" x14ac:dyDescent="0.35">
      <c r="D488">
        <v>5242</v>
      </c>
      <c r="E488" t="s">
        <v>104</v>
      </c>
    </row>
    <row r="489" spans="3:5" x14ac:dyDescent="0.35">
      <c r="D489">
        <v>5243</v>
      </c>
      <c r="E489" t="s">
        <v>105</v>
      </c>
    </row>
    <row r="490" spans="3:5" x14ac:dyDescent="0.35">
      <c r="D490">
        <v>5244</v>
      </c>
      <c r="E490" t="s">
        <v>106</v>
      </c>
    </row>
    <row r="491" spans="3:5" x14ac:dyDescent="0.35">
      <c r="D491">
        <v>5245</v>
      </c>
      <c r="E491" t="s">
        <v>107</v>
      </c>
    </row>
    <row r="492" spans="3:5" x14ac:dyDescent="0.35">
      <c r="D492">
        <v>5246</v>
      </c>
      <c r="E492" t="s">
        <v>108</v>
      </c>
    </row>
    <row r="493" spans="3:5" x14ac:dyDescent="0.35">
      <c r="D493">
        <v>5249</v>
      </c>
      <c r="E493" t="s">
        <v>109</v>
      </c>
    </row>
    <row r="495" spans="3:5" x14ac:dyDescent="0.35">
      <c r="C495">
        <v>525</v>
      </c>
      <c r="E495" t="s">
        <v>523</v>
      </c>
    </row>
    <row r="497" spans="2:5" x14ac:dyDescent="0.35">
      <c r="D497">
        <v>5250</v>
      </c>
      <c r="E497" t="s">
        <v>110</v>
      </c>
    </row>
    <row r="499" spans="2:5" x14ac:dyDescent="0.35">
      <c r="B499">
        <v>53</v>
      </c>
      <c r="E499" t="s">
        <v>524</v>
      </c>
    </row>
    <row r="501" spans="2:5" x14ac:dyDescent="0.35">
      <c r="C501">
        <v>531</v>
      </c>
      <c r="E501" t="s">
        <v>525</v>
      </c>
    </row>
    <row r="503" spans="2:5" x14ac:dyDescent="0.35">
      <c r="D503">
        <v>5311</v>
      </c>
      <c r="E503" t="s">
        <v>111</v>
      </c>
    </row>
    <row r="504" spans="2:5" x14ac:dyDescent="0.35">
      <c r="D504">
        <v>5312</v>
      </c>
      <c r="E504" t="s">
        <v>112</v>
      </c>
    </row>
    <row r="505" spans="2:5" x14ac:dyDescent="0.35">
      <c r="D505">
        <v>5313</v>
      </c>
      <c r="E505" t="s">
        <v>276</v>
      </c>
    </row>
    <row r="506" spans="2:5" x14ac:dyDescent="0.35">
      <c r="D506">
        <v>5314</v>
      </c>
      <c r="E506" t="s">
        <v>113</v>
      </c>
    </row>
    <row r="507" spans="2:5" x14ac:dyDescent="0.35">
      <c r="D507">
        <v>5315</v>
      </c>
      <c r="E507" t="s">
        <v>316</v>
      </c>
    </row>
    <row r="508" spans="2:5" x14ac:dyDescent="0.35">
      <c r="D508">
        <v>5316</v>
      </c>
      <c r="E508" t="s">
        <v>114</v>
      </c>
    </row>
    <row r="509" spans="2:5" x14ac:dyDescent="0.35">
      <c r="D509">
        <v>5317</v>
      </c>
      <c r="E509" t="s">
        <v>115</v>
      </c>
    </row>
    <row r="510" spans="2:5" x14ac:dyDescent="0.35">
      <c r="D510">
        <v>5319</v>
      </c>
      <c r="E510" t="s">
        <v>116</v>
      </c>
    </row>
    <row r="512" spans="2:5" x14ac:dyDescent="0.35">
      <c r="C512">
        <v>532</v>
      </c>
      <c r="E512" t="s">
        <v>526</v>
      </c>
    </row>
    <row r="514" spans="2:5" x14ac:dyDescent="0.35">
      <c r="D514">
        <v>5321</v>
      </c>
      <c r="E514" t="s">
        <v>163</v>
      </c>
    </row>
    <row r="515" spans="2:5" x14ac:dyDescent="0.35">
      <c r="D515">
        <v>5322</v>
      </c>
      <c r="E515" t="s">
        <v>164</v>
      </c>
    </row>
    <row r="516" spans="2:5" x14ac:dyDescent="0.35">
      <c r="D516">
        <v>5323</v>
      </c>
      <c r="E516" t="s">
        <v>165</v>
      </c>
    </row>
    <row r="518" spans="2:5" x14ac:dyDescent="0.35">
      <c r="C518">
        <v>533</v>
      </c>
      <c r="E518" t="s">
        <v>527</v>
      </c>
    </row>
    <row r="520" spans="2:5" x14ac:dyDescent="0.35">
      <c r="D520">
        <v>5330</v>
      </c>
      <c r="E520" t="s">
        <v>117</v>
      </c>
    </row>
    <row r="522" spans="2:5" x14ac:dyDescent="0.35">
      <c r="B522">
        <v>54</v>
      </c>
      <c r="E522" t="s">
        <v>528</v>
      </c>
    </row>
    <row r="524" spans="2:5" x14ac:dyDescent="0.35">
      <c r="C524">
        <v>541</v>
      </c>
      <c r="E524" t="s">
        <v>529</v>
      </c>
    </row>
    <row r="526" spans="2:5" x14ac:dyDescent="0.35">
      <c r="D526">
        <v>5411</v>
      </c>
      <c r="E526" t="s">
        <v>167</v>
      </c>
    </row>
    <row r="527" spans="2:5" x14ac:dyDescent="0.35">
      <c r="D527">
        <v>5412</v>
      </c>
      <c r="E527" t="s">
        <v>168</v>
      </c>
    </row>
    <row r="528" spans="2:5" x14ac:dyDescent="0.35">
      <c r="D528">
        <v>5413</v>
      </c>
      <c r="E528" t="s">
        <v>169</v>
      </c>
    </row>
    <row r="529" spans="3:5" x14ac:dyDescent="0.35">
      <c r="D529">
        <v>5419</v>
      </c>
      <c r="E529" t="s">
        <v>170</v>
      </c>
    </row>
    <row r="531" spans="3:5" x14ac:dyDescent="0.35">
      <c r="C531">
        <v>542</v>
      </c>
      <c r="E531" t="s">
        <v>530</v>
      </c>
    </row>
    <row r="533" spans="3:5" x14ac:dyDescent="0.35">
      <c r="D533">
        <v>5421</v>
      </c>
      <c r="E533" t="s">
        <v>171</v>
      </c>
    </row>
    <row r="534" spans="3:5" x14ac:dyDescent="0.35">
      <c r="D534">
        <v>5422</v>
      </c>
      <c r="E534" t="s">
        <v>172</v>
      </c>
    </row>
    <row r="535" spans="3:5" x14ac:dyDescent="0.35">
      <c r="D535">
        <v>5423</v>
      </c>
      <c r="E535" t="s">
        <v>173</v>
      </c>
    </row>
    <row r="537" spans="3:5" x14ac:dyDescent="0.35">
      <c r="C537">
        <v>543</v>
      </c>
      <c r="E537" t="s">
        <v>531</v>
      </c>
    </row>
    <row r="539" spans="3:5" x14ac:dyDescent="0.35">
      <c r="D539">
        <v>5431</v>
      </c>
      <c r="E539" t="s">
        <v>174</v>
      </c>
    </row>
    <row r="540" spans="3:5" x14ac:dyDescent="0.35">
      <c r="D540">
        <v>5432</v>
      </c>
      <c r="E540" t="s">
        <v>175</v>
      </c>
    </row>
    <row r="541" spans="3:5" x14ac:dyDescent="0.35">
      <c r="D541">
        <v>5433</v>
      </c>
      <c r="E541" t="s">
        <v>176</v>
      </c>
    </row>
    <row r="542" spans="3:5" x14ac:dyDescent="0.35">
      <c r="D542">
        <v>5434</v>
      </c>
      <c r="E542" t="s">
        <v>532</v>
      </c>
    </row>
    <row r="543" spans="3:5" x14ac:dyDescent="0.35">
      <c r="D543">
        <v>5435</v>
      </c>
      <c r="E543" t="s">
        <v>533</v>
      </c>
    </row>
    <row r="544" spans="3:5" x14ac:dyDescent="0.35">
      <c r="D544">
        <v>5436</v>
      </c>
      <c r="E544" t="s">
        <v>534</v>
      </c>
    </row>
    <row r="546" spans="1:5" x14ac:dyDescent="0.35">
      <c r="C546">
        <v>544</v>
      </c>
      <c r="E546" t="s">
        <v>535</v>
      </c>
    </row>
    <row r="548" spans="1:5" x14ac:dyDescent="0.35">
      <c r="D548">
        <v>5441</v>
      </c>
      <c r="E548" t="s">
        <v>177</v>
      </c>
    </row>
    <row r="549" spans="1:5" x14ac:dyDescent="0.35">
      <c r="D549">
        <v>5442</v>
      </c>
      <c r="E549" t="s">
        <v>178</v>
      </c>
    </row>
    <row r="550" spans="1:5" x14ac:dyDescent="0.35">
      <c r="D550">
        <v>5443</v>
      </c>
      <c r="E550" t="s">
        <v>536</v>
      </c>
    </row>
    <row r="551" spans="1:5" x14ac:dyDescent="0.35">
      <c r="D551">
        <v>5449</v>
      </c>
      <c r="E551" t="s">
        <v>253</v>
      </c>
    </row>
    <row r="553" spans="1:5" x14ac:dyDescent="0.35">
      <c r="A553">
        <v>6</v>
      </c>
      <c r="E553" t="s">
        <v>537</v>
      </c>
    </row>
    <row r="555" spans="1:5" x14ac:dyDescent="0.35">
      <c r="B555">
        <v>61</v>
      </c>
      <c r="E555" t="s">
        <v>538</v>
      </c>
    </row>
    <row r="557" spans="1:5" x14ac:dyDescent="0.35">
      <c r="C557">
        <v>611</v>
      </c>
      <c r="E557" t="s">
        <v>539</v>
      </c>
    </row>
    <row r="559" spans="1:5" x14ac:dyDescent="0.35">
      <c r="D559">
        <v>6111</v>
      </c>
      <c r="E559" t="s">
        <v>540</v>
      </c>
    </row>
    <row r="560" spans="1:5" x14ac:dyDescent="0.35">
      <c r="D560">
        <v>6112</v>
      </c>
      <c r="E560" t="s">
        <v>541</v>
      </c>
    </row>
    <row r="561" spans="3:5" x14ac:dyDescent="0.35">
      <c r="D561">
        <v>6113</v>
      </c>
      <c r="E561" t="s">
        <v>542</v>
      </c>
    </row>
    <row r="562" spans="3:5" x14ac:dyDescent="0.35">
      <c r="D562">
        <v>6114</v>
      </c>
      <c r="E562" t="s">
        <v>543</v>
      </c>
    </row>
    <row r="563" spans="3:5" x14ac:dyDescent="0.35">
      <c r="D563">
        <v>6116</v>
      </c>
      <c r="E563" t="s">
        <v>544</v>
      </c>
    </row>
    <row r="564" spans="3:5" x14ac:dyDescent="0.35">
      <c r="D564">
        <v>6117</v>
      </c>
      <c r="E564" t="s">
        <v>545</v>
      </c>
    </row>
    <row r="566" spans="3:5" x14ac:dyDescent="0.35">
      <c r="C566">
        <v>612</v>
      </c>
      <c r="E566" t="s">
        <v>546</v>
      </c>
    </row>
    <row r="568" spans="3:5" x14ac:dyDescent="0.35">
      <c r="D568">
        <v>6121</v>
      </c>
      <c r="E568" t="s">
        <v>317</v>
      </c>
    </row>
    <row r="569" spans="3:5" x14ac:dyDescent="0.35">
      <c r="D569">
        <v>6129</v>
      </c>
      <c r="E569" t="s">
        <v>318</v>
      </c>
    </row>
    <row r="571" spans="3:5" x14ac:dyDescent="0.35">
      <c r="C571">
        <v>613</v>
      </c>
      <c r="E571" t="s">
        <v>547</v>
      </c>
    </row>
    <row r="573" spans="3:5" x14ac:dyDescent="0.35">
      <c r="D573">
        <v>6131</v>
      </c>
      <c r="E573" t="s">
        <v>179</v>
      </c>
    </row>
    <row r="574" spans="3:5" x14ac:dyDescent="0.35">
      <c r="D574">
        <v>6132</v>
      </c>
      <c r="E574" t="s">
        <v>180</v>
      </c>
    </row>
    <row r="575" spans="3:5" x14ac:dyDescent="0.35">
      <c r="D575">
        <v>6133</v>
      </c>
      <c r="E575" t="s">
        <v>181</v>
      </c>
    </row>
    <row r="576" spans="3:5" x14ac:dyDescent="0.35">
      <c r="D576">
        <v>6134</v>
      </c>
      <c r="E576" t="s">
        <v>182</v>
      </c>
    </row>
    <row r="577" spans="2:5" x14ac:dyDescent="0.35">
      <c r="D577">
        <v>6135</v>
      </c>
      <c r="E577" t="s">
        <v>183</v>
      </c>
    </row>
    <row r="578" spans="2:5" x14ac:dyDescent="0.35">
      <c r="D578">
        <v>6136</v>
      </c>
      <c r="E578" t="s">
        <v>184</v>
      </c>
    </row>
    <row r="579" spans="2:5" x14ac:dyDescent="0.35">
      <c r="D579">
        <v>6137</v>
      </c>
      <c r="E579" t="s">
        <v>185</v>
      </c>
    </row>
    <row r="580" spans="2:5" x14ac:dyDescent="0.35">
      <c r="D580">
        <v>6138</v>
      </c>
      <c r="E580" t="s">
        <v>548</v>
      </c>
    </row>
    <row r="582" spans="2:5" x14ac:dyDescent="0.35">
      <c r="B582">
        <v>62</v>
      </c>
      <c r="E582" t="s">
        <v>549</v>
      </c>
    </row>
    <row r="584" spans="2:5" x14ac:dyDescent="0.35">
      <c r="C584">
        <v>621</v>
      </c>
      <c r="E584" t="s">
        <v>550</v>
      </c>
    </row>
    <row r="586" spans="2:5" x14ac:dyDescent="0.35">
      <c r="D586">
        <v>6211</v>
      </c>
      <c r="E586" t="s">
        <v>551</v>
      </c>
    </row>
    <row r="587" spans="2:5" x14ac:dyDescent="0.35">
      <c r="D587">
        <v>6212</v>
      </c>
      <c r="E587" t="s">
        <v>552</v>
      </c>
    </row>
    <row r="588" spans="2:5" x14ac:dyDescent="0.35">
      <c r="D588">
        <v>6213</v>
      </c>
      <c r="E588" t="s">
        <v>186</v>
      </c>
    </row>
    <row r="589" spans="2:5" x14ac:dyDescent="0.35">
      <c r="D589">
        <v>6214</v>
      </c>
      <c r="E589" t="s">
        <v>187</v>
      </c>
    </row>
    <row r="590" spans="2:5" x14ac:dyDescent="0.35">
      <c r="D590">
        <v>6219</v>
      </c>
      <c r="E590" t="s">
        <v>553</v>
      </c>
    </row>
    <row r="592" spans="2:5" x14ac:dyDescent="0.35">
      <c r="C592">
        <v>622</v>
      </c>
      <c r="E592" t="s">
        <v>554</v>
      </c>
    </row>
    <row r="594" spans="3:5" x14ac:dyDescent="0.35">
      <c r="D594">
        <v>6221</v>
      </c>
      <c r="E594" t="s">
        <v>555</v>
      </c>
    </row>
    <row r="595" spans="3:5" x14ac:dyDescent="0.35">
      <c r="D595">
        <v>6222</v>
      </c>
      <c r="E595" t="s">
        <v>556</v>
      </c>
    </row>
    <row r="597" spans="3:5" x14ac:dyDescent="0.35">
      <c r="C597">
        <v>623</v>
      </c>
      <c r="E597" t="s">
        <v>557</v>
      </c>
    </row>
    <row r="599" spans="3:5" x14ac:dyDescent="0.35">
      <c r="D599">
        <v>6231</v>
      </c>
      <c r="E599" t="s">
        <v>558</v>
      </c>
    </row>
    <row r="600" spans="3:5" x14ac:dyDescent="0.35">
      <c r="D600">
        <v>6232</v>
      </c>
      <c r="E600" t="s">
        <v>559</v>
      </c>
    </row>
    <row r="602" spans="3:5" x14ac:dyDescent="0.35">
      <c r="C602">
        <v>624</v>
      </c>
      <c r="E602" t="s">
        <v>560</v>
      </c>
    </row>
    <row r="604" spans="3:5" x14ac:dyDescent="0.35">
      <c r="D604">
        <v>6240</v>
      </c>
      <c r="E604" t="s">
        <v>259</v>
      </c>
    </row>
    <row r="606" spans="3:5" x14ac:dyDescent="0.35">
      <c r="C606">
        <v>625</v>
      </c>
      <c r="E606" t="s">
        <v>561</v>
      </c>
    </row>
    <row r="608" spans="3:5" x14ac:dyDescent="0.35">
      <c r="D608">
        <v>6250</v>
      </c>
      <c r="E608" t="s">
        <v>562</v>
      </c>
    </row>
    <row r="610" spans="1:5" x14ac:dyDescent="0.35">
      <c r="B610">
        <v>63</v>
      </c>
      <c r="E610" t="s">
        <v>563</v>
      </c>
    </row>
    <row r="612" spans="1:5" x14ac:dyDescent="0.35">
      <c r="C612">
        <v>631</v>
      </c>
      <c r="E612" t="s">
        <v>564</v>
      </c>
    </row>
    <row r="614" spans="1:5" x14ac:dyDescent="0.35">
      <c r="D614">
        <v>6311</v>
      </c>
      <c r="E614" t="s">
        <v>565</v>
      </c>
    </row>
    <row r="615" spans="1:5" x14ac:dyDescent="0.35">
      <c r="D615">
        <v>6312</v>
      </c>
      <c r="E615" t="s">
        <v>566</v>
      </c>
    </row>
    <row r="617" spans="1:5" x14ac:dyDescent="0.35">
      <c r="A617">
        <v>7</v>
      </c>
      <c r="E617" t="s">
        <v>567</v>
      </c>
    </row>
    <row r="619" spans="1:5" x14ac:dyDescent="0.35">
      <c r="B619">
        <v>71</v>
      </c>
      <c r="E619" t="s">
        <v>568</v>
      </c>
    </row>
    <row r="621" spans="1:5" x14ac:dyDescent="0.35">
      <c r="C621">
        <v>711</v>
      </c>
      <c r="E621" t="s">
        <v>569</v>
      </c>
    </row>
    <row r="623" spans="1:5" x14ac:dyDescent="0.35">
      <c r="D623">
        <v>7111</v>
      </c>
      <c r="E623" t="s">
        <v>262</v>
      </c>
    </row>
    <row r="624" spans="1:5" x14ac:dyDescent="0.35">
      <c r="D624">
        <v>7112</v>
      </c>
      <c r="E624" t="s">
        <v>570</v>
      </c>
    </row>
    <row r="625" spans="3:5" x14ac:dyDescent="0.35">
      <c r="D625">
        <v>7113</v>
      </c>
      <c r="E625" t="s">
        <v>571</v>
      </c>
    </row>
    <row r="626" spans="3:5" x14ac:dyDescent="0.35">
      <c r="D626">
        <v>7114</v>
      </c>
      <c r="E626" t="s">
        <v>319</v>
      </c>
    </row>
    <row r="627" spans="3:5" x14ac:dyDescent="0.35">
      <c r="D627">
        <v>7115</v>
      </c>
      <c r="E627" t="s">
        <v>189</v>
      </c>
    </row>
    <row r="629" spans="3:5" x14ac:dyDescent="0.35">
      <c r="C629">
        <v>712</v>
      </c>
      <c r="E629" t="s">
        <v>572</v>
      </c>
    </row>
    <row r="631" spans="3:5" x14ac:dyDescent="0.35">
      <c r="D631">
        <v>7121</v>
      </c>
      <c r="E631" t="s">
        <v>573</v>
      </c>
    </row>
    <row r="632" spans="3:5" x14ac:dyDescent="0.35">
      <c r="D632">
        <v>7122</v>
      </c>
      <c r="E632" t="s">
        <v>574</v>
      </c>
    </row>
    <row r="633" spans="3:5" x14ac:dyDescent="0.35">
      <c r="D633">
        <v>7123</v>
      </c>
      <c r="E633" t="s">
        <v>575</v>
      </c>
    </row>
    <row r="634" spans="3:5" x14ac:dyDescent="0.35">
      <c r="D634">
        <v>7124</v>
      </c>
      <c r="E634" t="s">
        <v>576</v>
      </c>
    </row>
    <row r="635" spans="3:5" x14ac:dyDescent="0.35">
      <c r="D635">
        <v>7125</v>
      </c>
      <c r="E635" t="s">
        <v>577</v>
      </c>
    </row>
    <row r="636" spans="3:5" x14ac:dyDescent="0.35">
      <c r="D636">
        <v>7129</v>
      </c>
      <c r="E636" t="s">
        <v>578</v>
      </c>
    </row>
    <row r="638" spans="3:5" x14ac:dyDescent="0.35">
      <c r="C638">
        <v>713</v>
      </c>
      <c r="E638" t="s">
        <v>579</v>
      </c>
    </row>
    <row r="640" spans="3:5" x14ac:dyDescent="0.35">
      <c r="D640">
        <v>7131</v>
      </c>
      <c r="E640" t="s">
        <v>580</v>
      </c>
    </row>
    <row r="641" spans="2:5" x14ac:dyDescent="0.35">
      <c r="D641">
        <v>7132</v>
      </c>
      <c r="E641" t="s">
        <v>581</v>
      </c>
    </row>
    <row r="643" spans="2:5" x14ac:dyDescent="0.35">
      <c r="B643">
        <v>72</v>
      </c>
      <c r="E643" t="s">
        <v>582</v>
      </c>
    </row>
    <row r="645" spans="2:5" x14ac:dyDescent="0.35">
      <c r="C645">
        <v>721</v>
      </c>
      <c r="E645" t="s">
        <v>583</v>
      </c>
    </row>
    <row r="647" spans="2:5" x14ac:dyDescent="0.35">
      <c r="D647">
        <v>7211</v>
      </c>
      <c r="E647" t="s">
        <v>584</v>
      </c>
    </row>
    <row r="648" spans="2:5" x14ac:dyDescent="0.35">
      <c r="D648">
        <v>7212</v>
      </c>
      <c r="E648" t="s">
        <v>585</v>
      </c>
    </row>
    <row r="649" spans="2:5" x14ac:dyDescent="0.35">
      <c r="D649">
        <v>7213</v>
      </c>
      <c r="E649" t="s">
        <v>586</v>
      </c>
    </row>
    <row r="650" spans="2:5" x14ac:dyDescent="0.35">
      <c r="D650">
        <v>7214</v>
      </c>
      <c r="E650" t="s">
        <v>587</v>
      </c>
    </row>
    <row r="651" spans="2:5" x14ac:dyDescent="0.35">
      <c r="D651">
        <v>7219</v>
      </c>
      <c r="E651" t="s">
        <v>261</v>
      </c>
    </row>
    <row r="653" spans="2:5" x14ac:dyDescent="0.35">
      <c r="C653">
        <v>722</v>
      </c>
      <c r="E653" t="s">
        <v>274</v>
      </c>
    </row>
    <row r="655" spans="2:5" x14ac:dyDescent="0.35">
      <c r="D655">
        <v>7220</v>
      </c>
      <c r="E655" t="s">
        <v>588</v>
      </c>
    </row>
    <row r="657" spans="1:5" x14ac:dyDescent="0.35">
      <c r="A657">
        <v>8</v>
      </c>
      <c r="E657" t="s">
        <v>589</v>
      </c>
    </row>
    <row r="659" spans="1:5" x14ac:dyDescent="0.35">
      <c r="B659">
        <v>81</v>
      </c>
      <c r="E659" t="s">
        <v>589</v>
      </c>
    </row>
    <row r="661" spans="1:5" x14ac:dyDescent="0.35">
      <c r="C661">
        <v>811</v>
      </c>
      <c r="E661" t="s">
        <v>590</v>
      </c>
    </row>
    <row r="663" spans="1:5" x14ac:dyDescent="0.35">
      <c r="D663">
        <v>8111</v>
      </c>
      <c r="E663" t="s">
        <v>190</v>
      </c>
    </row>
    <row r="664" spans="1:5" x14ac:dyDescent="0.35">
      <c r="D664">
        <v>8112</v>
      </c>
      <c r="E664" t="s">
        <v>192</v>
      </c>
    </row>
    <row r="665" spans="1:5" x14ac:dyDescent="0.35">
      <c r="D665">
        <v>8113</v>
      </c>
      <c r="E665" t="s">
        <v>193</v>
      </c>
    </row>
    <row r="666" spans="1:5" x14ac:dyDescent="0.35">
      <c r="D666">
        <v>8114</v>
      </c>
      <c r="E666" t="s">
        <v>195</v>
      </c>
    </row>
    <row r="667" spans="1:5" x14ac:dyDescent="0.35">
      <c r="D667">
        <v>8115</v>
      </c>
      <c r="E667" t="s">
        <v>196</v>
      </c>
    </row>
    <row r="668" spans="1:5" x14ac:dyDescent="0.35">
      <c r="D668">
        <v>8119</v>
      </c>
      <c r="E668" t="s">
        <v>198</v>
      </c>
    </row>
    <row r="670" spans="1:5" x14ac:dyDescent="0.35">
      <c r="C670">
        <v>812</v>
      </c>
      <c r="E670" t="s">
        <v>591</v>
      </c>
    </row>
    <row r="672" spans="1:5" x14ac:dyDescent="0.35">
      <c r="D672">
        <v>8120</v>
      </c>
      <c r="E672" t="s">
        <v>203</v>
      </c>
    </row>
    <row r="674" spans="3:5" x14ac:dyDescent="0.35">
      <c r="C674">
        <v>813</v>
      </c>
      <c r="E674" t="s">
        <v>592</v>
      </c>
    </row>
    <row r="676" spans="3:5" x14ac:dyDescent="0.35">
      <c r="D676">
        <v>8131</v>
      </c>
      <c r="E676" t="s">
        <v>199</v>
      </c>
    </row>
    <row r="677" spans="3:5" x14ac:dyDescent="0.35">
      <c r="D677">
        <v>8132</v>
      </c>
      <c r="E677" t="s">
        <v>320</v>
      </c>
    </row>
    <row r="678" spans="3:5" x14ac:dyDescent="0.35">
      <c r="D678">
        <v>8133</v>
      </c>
      <c r="E678" t="s">
        <v>202</v>
      </c>
    </row>
    <row r="679" spans="3:5" x14ac:dyDescent="0.35">
      <c r="D679">
        <v>8134</v>
      </c>
      <c r="E679" t="s">
        <v>204</v>
      </c>
    </row>
    <row r="680" spans="3:5" x14ac:dyDescent="0.35">
      <c r="D680">
        <v>8135</v>
      </c>
      <c r="E680" t="s">
        <v>205</v>
      </c>
    </row>
    <row r="681" spans="3:5" x14ac:dyDescent="0.35">
      <c r="D681">
        <v>8139</v>
      </c>
      <c r="E681" t="s">
        <v>206</v>
      </c>
    </row>
    <row r="683" spans="3:5" x14ac:dyDescent="0.35">
      <c r="C683">
        <v>814</v>
      </c>
      <c r="E683" t="s">
        <v>593</v>
      </c>
    </row>
    <row r="685" spans="3:5" x14ac:dyDescent="0.35">
      <c r="D685">
        <v>8141</v>
      </c>
      <c r="E685" t="s">
        <v>207</v>
      </c>
    </row>
    <row r="686" spans="3:5" x14ac:dyDescent="0.35">
      <c r="D686">
        <v>8142</v>
      </c>
      <c r="E686" t="s">
        <v>208</v>
      </c>
    </row>
    <row r="687" spans="3:5" x14ac:dyDescent="0.35">
      <c r="D687">
        <v>8143</v>
      </c>
      <c r="E687" t="s">
        <v>209</v>
      </c>
    </row>
    <row r="688" spans="3:5" x14ac:dyDescent="0.35">
      <c r="D688">
        <v>8144</v>
      </c>
      <c r="E688" t="s">
        <v>210</v>
      </c>
    </row>
    <row r="689" spans="2:5" x14ac:dyDescent="0.35">
      <c r="D689">
        <v>8145</v>
      </c>
      <c r="E689" t="s">
        <v>211</v>
      </c>
    </row>
    <row r="690" spans="2:5" x14ac:dyDescent="0.35">
      <c r="D690">
        <v>8146</v>
      </c>
      <c r="E690" t="s">
        <v>594</v>
      </c>
    </row>
    <row r="691" spans="2:5" x14ac:dyDescent="0.35">
      <c r="D691">
        <v>8149</v>
      </c>
      <c r="E691" t="s">
        <v>212</v>
      </c>
    </row>
    <row r="693" spans="2:5" x14ac:dyDescent="0.35">
      <c r="C693">
        <v>815</v>
      </c>
      <c r="E693" t="s">
        <v>595</v>
      </c>
    </row>
    <row r="695" spans="2:5" x14ac:dyDescent="0.35">
      <c r="D695">
        <v>8151</v>
      </c>
      <c r="E695" t="s">
        <v>213</v>
      </c>
    </row>
    <row r="696" spans="2:5" x14ac:dyDescent="0.35">
      <c r="D696">
        <v>8152</v>
      </c>
      <c r="E696" t="s">
        <v>214</v>
      </c>
    </row>
    <row r="697" spans="2:5" x14ac:dyDescent="0.35">
      <c r="D697">
        <v>8153</v>
      </c>
      <c r="E697" t="s">
        <v>215</v>
      </c>
    </row>
    <row r="698" spans="2:5" x14ac:dyDescent="0.35">
      <c r="D698">
        <v>8159</v>
      </c>
      <c r="E698" t="s">
        <v>216</v>
      </c>
    </row>
    <row r="700" spans="2:5" x14ac:dyDescent="0.35">
      <c r="C700">
        <v>816</v>
      </c>
      <c r="E700" t="s">
        <v>596</v>
      </c>
    </row>
    <row r="702" spans="2:5" x14ac:dyDescent="0.35">
      <c r="D702">
        <v>8160</v>
      </c>
      <c r="E702" t="s">
        <v>321</v>
      </c>
    </row>
    <row r="704" spans="2:5" x14ac:dyDescent="0.35">
      <c r="B704">
        <v>82</v>
      </c>
      <c r="E704" t="s">
        <v>597</v>
      </c>
    </row>
    <row r="706" spans="3:5" x14ac:dyDescent="0.35">
      <c r="C706">
        <v>821</v>
      </c>
      <c r="E706" t="s">
        <v>598</v>
      </c>
    </row>
    <row r="708" spans="3:5" x14ac:dyDescent="0.35">
      <c r="D708">
        <v>8211</v>
      </c>
      <c r="E708" t="s">
        <v>217</v>
      </c>
    </row>
    <row r="709" spans="3:5" x14ac:dyDescent="0.35">
      <c r="D709">
        <v>8212</v>
      </c>
      <c r="E709" t="s">
        <v>219</v>
      </c>
    </row>
    <row r="710" spans="3:5" x14ac:dyDescent="0.35">
      <c r="D710">
        <v>8213</v>
      </c>
      <c r="E710" t="s">
        <v>220</v>
      </c>
    </row>
    <row r="711" spans="3:5" x14ac:dyDescent="0.35">
      <c r="D711">
        <v>8214</v>
      </c>
      <c r="E711" t="s">
        <v>599</v>
      </c>
    </row>
    <row r="712" spans="3:5" x14ac:dyDescent="0.35">
      <c r="D712">
        <v>8215</v>
      </c>
      <c r="E712" t="s">
        <v>221</v>
      </c>
    </row>
    <row r="713" spans="3:5" x14ac:dyDescent="0.35">
      <c r="D713">
        <v>8219</v>
      </c>
      <c r="E713" t="s">
        <v>600</v>
      </c>
    </row>
    <row r="715" spans="3:5" x14ac:dyDescent="0.35">
      <c r="C715">
        <v>822</v>
      </c>
      <c r="E715" t="s">
        <v>601</v>
      </c>
    </row>
    <row r="717" spans="3:5" x14ac:dyDescent="0.35">
      <c r="D717">
        <v>8221</v>
      </c>
      <c r="E717" t="s">
        <v>222</v>
      </c>
    </row>
    <row r="718" spans="3:5" x14ac:dyDescent="0.35">
      <c r="D718">
        <v>8222</v>
      </c>
      <c r="E718" t="s">
        <v>223</v>
      </c>
    </row>
    <row r="719" spans="3:5" x14ac:dyDescent="0.35">
      <c r="D719">
        <v>8229</v>
      </c>
      <c r="E719" t="s">
        <v>225</v>
      </c>
    </row>
    <row r="721" spans="1:5" x14ac:dyDescent="0.35">
      <c r="C721">
        <v>823</v>
      </c>
      <c r="E721" t="s">
        <v>602</v>
      </c>
    </row>
    <row r="723" spans="1:5" x14ac:dyDescent="0.35">
      <c r="D723">
        <v>8231</v>
      </c>
      <c r="E723" t="s">
        <v>226</v>
      </c>
    </row>
    <row r="724" spans="1:5" x14ac:dyDescent="0.35">
      <c r="D724">
        <v>8232</v>
      </c>
      <c r="E724" t="s">
        <v>227</v>
      </c>
    </row>
    <row r="725" spans="1:5" x14ac:dyDescent="0.35">
      <c r="D725">
        <v>8233</v>
      </c>
      <c r="E725" t="s">
        <v>228</v>
      </c>
    </row>
    <row r="726" spans="1:5" x14ac:dyDescent="0.35">
      <c r="D726">
        <v>8234</v>
      </c>
      <c r="E726" t="s">
        <v>229</v>
      </c>
    </row>
    <row r="727" spans="1:5" x14ac:dyDescent="0.35">
      <c r="D727">
        <v>8239</v>
      </c>
      <c r="E727" t="s">
        <v>230</v>
      </c>
    </row>
    <row r="729" spans="1:5" x14ac:dyDescent="0.35">
      <c r="A729">
        <v>9</v>
      </c>
      <c r="E729" t="s">
        <v>603</v>
      </c>
    </row>
    <row r="731" spans="1:5" x14ac:dyDescent="0.35">
      <c r="B731">
        <v>91</v>
      </c>
      <c r="E731" t="s">
        <v>604</v>
      </c>
    </row>
    <row r="733" spans="1:5" x14ac:dyDescent="0.35">
      <c r="C733">
        <v>911</v>
      </c>
      <c r="E733" t="s">
        <v>605</v>
      </c>
    </row>
    <row r="735" spans="1:5" x14ac:dyDescent="0.35">
      <c r="D735">
        <v>9111</v>
      </c>
      <c r="E735" t="s">
        <v>606</v>
      </c>
    </row>
    <row r="736" spans="1:5" x14ac:dyDescent="0.35">
      <c r="D736">
        <v>9112</v>
      </c>
      <c r="E736" t="s">
        <v>277</v>
      </c>
    </row>
    <row r="737" spans="2:5" x14ac:dyDescent="0.35">
      <c r="D737">
        <v>9119</v>
      </c>
      <c r="E737" t="s">
        <v>607</v>
      </c>
    </row>
    <row r="739" spans="2:5" x14ac:dyDescent="0.35">
      <c r="C739">
        <v>912</v>
      </c>
      <c r="E739" t="s">
        <v>608</v>
      </c>
    </row>
    <row r="741" spans="2:5" x14ac:dyDescent="0.35">
      <c r="D741">
        <v>9121</v>
      </c>
      <c r="E741" t="s">
        <v>275</v>
      </c>
    </row>
    <row r="742" spans="2:5" x14ac:dyDescent="0.35">
      <c r="D742">
        <v>9129</v>
      </c>
      <c r="E742" t="s">
        <v>270</v>
      </c>
    </row>
    <row r="744" spans="2:5" x14ac:dyDescent="0.35">
      <c r="C744">
        <v>913</v>
      </c>
      <c r="E744" t="s">
        <v>609</v>
      </c>
    </row>
    <row r="746" spans="2:5" x14ac:dyDescent="0.35">
      <c r="D746">
        <v>9131</v>
      </c>
      <c r="E746" t="s">
        <v>243</v>
      </c>
    </row>
    <row r="747" spans="2:5" x14ac:dyDescent="0.35">
      <c r="D747">
        <v>9132</v>
      </c>
      <c r="E747" t="s">
        <v>232</v>
      </c>
    </row>
    <row r="748" spans="2:5" x14ac:dyDescent="0.35">
      <c r="D748">
        <v>9139</v>
      </c>
      <c r="E748" t="s">
        <v>233</v>
      </c>
    </row>
    <row r="750" spans="2:5" x14ac:dyDescent="0.35">
      <c r="B750">
        <v>92</v>
      </c>
      <c r="E750" t="s">
        <v>610</v>
      </c>
    </row>
    <row r="752" spans="2:5" x14ac:dyDescent="0.35">
      <c r="C752">
        <v>921</v>
      </c>
      <c r="E752" t="s">
        <v>611</v>
      </c>
    </row>
    <row r="754" spans="3:5" x14ac:dyDescent="0.35">
      <c r="D754">
        <v>9211</v>
      </c>
      <c r="E754" t="s">
        <v>612</v>
      </c>
    </row>
    <row r="755" spans="3:5" x14ac:dyDescent="0.35">
      <c r="D755">
        <v>9219</v>
      </c>
      <c r="E755" t="s">
        <v>613</v>
      </c>
    </row>
    <row r="757" spans="3:5" x14ac:dyDescent="0.35">
      <c r="C757">
        <v>922</v>
      </c>
      <c r="E757" t="s">
        <v>614</v>
      </c>
    </row>
    <row r="759" spans="3:5" x14ac:dyDescent="0.35">
      <c r="D759">
        <v>9221</v>
      </c>
      <c r="E759" t="s">
        <v>615</v>
      </c>
    </row>
    <row r="760" spans="3:5" x14ac:dyDescent="0.35">
      <c r="D760">
        <v>9222</v>
      </c>
      <c r="E760" t="s">
        <v>616</v>
      </c>
    </row>
    <row r="761" spans="3:5" x14ac:dyDescent="0.35">
      <c r="D761">
        <v>9223</v>
      </c>
      <c r="E761" t="s">
        <v>617</v>
      </c>
    </row>
    <row r="762" spans="3:5" x14ac:dyDescent="0.35">
      <c r="D762">
        <v>9224</v>
      </c>
      <c r="E762" t="s">
        <v>618</v>
      </c>
    </row>
    <row r="763" spans="3:5" x14ac:dyDescent="0.35">
      <c r="D763">
        <v>9225</v>
      </c>
      <c r="E763" t="s">
        <v>242</v>
      </c>
    </row>
    <row r="764" spans="3:5" x14ac:dyDescent="0.35">
      <c r="D764">
        <v>9226</v>
      </c>
      <c r="E764" t="s">
        <v>234</v>
      </c>
    </row>
    <row r="765" spans="3:5" x14ac:dyDescent="0.35">
      <c r="D765">
        <v>9229</v>
      </c>
      <c r="E765" t="s">
        <v>619</v>
      </c>
    </row>
    <row r="767" spans="3:5" x14ac:dyDescent="0.35">
      <c r="C767">
        <v>923</v>
      </c>
      <c r="E767" t="s">
        <v>620</v>
      </c>
    </row>
    <row r="769" spans="3:5" x14ac:dyDescent="0.35">
      <c r="D769">
        <v>9231</v>
      </c>
      <c r="E769" t="s">
        <v>621</v>
      </c>
    </row>
    <row r="770" spans="3:5" x14ac:dyDescent="0.35">
      <c r="D770">
        <v>9232</v>
      </c>
      <c r="E770" t="s">
        <v>622</v>
      </c>
    </row>
    <row r="771" spans="3:5" x14ac:dyDescent="0.35">
      <c r="D771">
        <v>9233</v>
      </c>
      <c r="E771" t="s">
        <v>623</v>
      </c>
    </row>
    <row r="773" spans="3:5" x14ac:dyDescent="0.35">
      <c r="C773">
        <v>924</v>
      </c>
      <c r="E773" t="s">
        <v>624</v>
      </c>
    </row>
    <row r="775" spans="3:5" x14ac:dyDescent="0.35">
      <c r="D775">
        <v>9241</v>
      </c>
      <c r="E775" t="s">
        <v>625</v>
      </c>
    </row>
    <row r="776" spans="3:5" x14ac:dyDescent="0.35">
      <c r="D776">
        <v>9249</v>
      </c>
      <c r="E776" t="s">
        <v>626</v>
      </c>
    </row>
    <row r="778" spans="3:5" x14ac:dyDescent="0.35">
      <c r="C778">
        <v>925</v>
      </c>
      <c r="E778" t="s">
        <v>627</v>
      </c>
    </row>
    <row r="780" spans="3:5" x14ac:dyDescent="0.35">
      <c r="D780">
        <v>9251</v>
      </c>
      <c r="E780" t="s">
        <v>628</v>
      </c>
    </row>
    <row r="781" spans="3:5" x14ac:dyDescent="0.35">
      <c r="D781">
        <v>9252</v>
      </c>
      <c r="E781" t="s">
        <v>269</v>
      </c>
    </row>
    <row r="782" spans="3:5" x14ac:dyDescent="0.35">
      <c r="D782">
        <v>9253</v>
      </c>
      <c r="E782" t="s">
        <v>629</v>
      </c>
    </row>
    <row r="783" spans="3:5" x14ac:dyDescent="0.35">
      <c r="D783">
        <v>9259</v>
      </c>
      <c r="E783" t="s">
        <v>278</v>
      </c>
    </row>
    <row r="785" spans="3:5" x14ac:dyDescent="0.35">
      <c r="C785">
        <v>926</v>
      </c>
      <c r="E785" t="s">
        <v>630</v>
      </c>
    </row>
    <row r="787" spans="3:5" x14ac:dyDescent="0.35">
      <c r="D787">
        <v>9261</v>
      </c>
      <c r="E787" t="s">
        <v>631</v>
      </c>
    </row>
    <row r="788" spans="3:5" x14ac:dyDescent="0.35">
      <c r="D788">
        <v>9262</v>
      </c>
      <c r="E788" t="s">
        <v>235</v>
      </c>
    </row>
    <row r="789" spans="3:5" x14ac:dyDescent="0.35">
      <c r="D789">
        <v>9263</v>
      </c>
      <c r="E789" t="s">
        <v>632</v>
      </c>
    </row>
    <row r="790" spans="3:5" x14ac:dyDescent="0.35">
      <c r="D790">
        <v>9264</v>
      </c>
      <c r="E790" t="s">
        <v>633</v>
      </c>
    </row>
    <row r="791" spans="3:5" x14ac:dyDescent="0.35">
      <c r="D791">
        <v>9265</v>
      </c>
      <c r="E791" t="s">
        <v>634</v>
      </c>
    </row>
    <row r="792" spans="3:5" x14ac:dyDescent="0.35">
      <c r="D792">
        <v>9266</v>
      </c>
      <c r="E792" t="s">
        <v>635</v>
      </c>
    </row>
    <row r="793" spans="3:5" x14ac:dyDescent="0.35">
      <c r="D793">
        <v>9267</v>
      </c>
      <c r="E793" t="s">
        <v>636</v>
      </c>
    </row>
    <row r="794" spans="3:5" x14ac:dyDescent="0.35">
      <c r="D794">
        <v>9269</v>
      </c>
      <c r="E794" t="s">
        <v>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9FCD-F79F-4F5B-A401-99D366C09924}">
  <dimension ref="A1:E710"/>
  <sheetViews>
    <sheetView zoomScaleNormal="100" workbookViewId="0">
      <selection activeCell="D14" sqref="D14"/>
    </sheetView>
  </sheetViews>
  <sheetFormatPr defaultColWidth="34.7265625" defaultRowHeight="12.5" x14ac:dyDescent="0.25"/>
  <cols>
    <col min="1" max="1" width="6.81640625" style="4" bestFit="1" customWidth="1"/>
    <col min="2" max="2" width="10.81640625" style="4" bestFit="1" customWidth="1"/>
    <col min="3" max="4" width="6.81640625" style="4" bestFit="1" customWidth="1"/>
    <col min="5" max="5" width="63.26953125" style="4" customWidth="1"/>
    <col min="6" max="256" width="34.7265625" style="4"/>
    <col min="257" max="257" width="6.81640625" style="4" bestFit="1" customWidth="1"/>
    <col min="258" max="258" width="10.81640625" style="4" bestFit="1" customWidth="1"/>
    <col min="259" max="260" width="6.81640625" style="4" bestFit="1" customWidth="1"/>
    <col min="261" max="261" width="63.26953125" style="4" customWidth="1"/>
    <col min="262" max="512" width="34.7265625" style="4"/>
    <col min="513" max="513" width="6.81640625" style="4" bestFit="1" customWidth="1"/>
    <col min="514" max="514" width="10.81640625" style="4" bestFit="1" customWidth="1"/>
    <col min="515" max="516" width="6.81640625" style="4" bestFit="1" customWidth="1"/>
    <col min="517" max="517" width="63.26953125" style="4" customWidth="1"/>
    <col min="518" max="768" width="34.7265625" style="4"/>
    <col min="769" max="769" width="6.81640625" style="4" bestFit="1" customWidth="1"/>
    <col min="770" max="770" width="10.81640625" style="4" bestFit="1" customWidth="1"/>
    <col min="771" max="772" width="6.81640625" style="4" bestFit="1" customWidth="1"/>
    <col min="773" max="773" width="63.26953125" style="4" customWidth="1"/>
    <col min="774" max="1024" width="34.7265625" style="4"/>
    <col min="1025" max="1025" width="6.81640625" style="4" bestFit="1" customWidth="1"/>
    <col min="1026" max="1026" width="10.81640625" style="4" bestFit="1" customWidth="1"/>
    <col min="1027" max="1028" width="6.81640625" style="4" bestFit="1" customWidth="1"/>
    <col min="1029" max="1029" width="63.26953125" style="4" customWidth="1"/>
    <col min="1030" max="1280" width="34.7265625" style="4"/>
    <col min="1281" max="1281" width="6.81640625" style="4" bestFit="1" customWidth="1"/>
    <col min="1282" max="1282" width="10.81640625" style="4" bestFit="1" customWidth="1"/>
    <col min="1283" max="1284" width="6.81640625" style="4" bestFit="1" customWidth="1"/>
    <col min="1285" max="1285" width="63.26953125" style="4" customWidth="1"/>
    <col min="1286" max="1536" width="34.7265625" style="4"/>
    <col min="1537" max="1537" width="6.81640625" style="4" bestFit="1" customWidth="1"/>
    <col min="1538" max="1538" width="10.81640625" style="4" bestFit="1" customWidth="1"/>
    <col min="1539" max="1540" width="6.81640625" style="4" bestFit="1" customWidth="1"/>
    <col min="1541" max="1541" width="63.26953125" style="4" customWidth="1"/>
    <col min="1542" max="1792" width="34.7265625" style="4"/>
    <col min="1793" max="1793" width="6.81640625" style="4" bestFit="1" customWidth="1"/>
    <col min="1794" max="1794" width="10.81640625" style="4" bestFit="1" customWidth="1"/>
    <col min="1795" max="1796" width="6.81640625" style="4" bestFit="1" customWidth="1"/>
    <col min="1797" max="1797" width="63.26953125" style="4" customWidth="1"/>
    <col min="1798" max="2048" width="34.7265625" style="4"/>
    <col min="2049" max="2049" width="6.81640625" style="4" bestFit="1" customWidth="1"/>
    <col min="2050" max="2050" width="10.81640625" style="4" bestFit="1" customWidth="1"/>
    <col min="2051" max="2052" width="6.81640625" style="4" bestFit="1" customWidth="1"/>
    <col min="2053" max="2053" width="63.26953125" style="4" customWidth="1"/>
    <col min="2054" max="2304" width="34.7265625" style="4"/>
    <col min="2305" max="2305" width="6.81640625" style="4" bestFit="1" customWidth="1"/>
    <col min="2306" max="2306" width="10.81640625" style="4" bestFit="1" customWidth="1"/>
    <col min="2307" max="2308" width="6.81640625" style="4" bestFit="1" customWidth="1"/>
    <col min="2309" max="2309" width="63.26953125" style="4" customWidth="1"/>
    <col min="2310" max="2560" width="34.7265625" style="4"/>
    <col min="2561" max="2561" width="6.81640625" style="4" bestFit="1" customWidth="1"/>
    <col min="2562" max="2562" width="10.81640625" style="4" bestFit="1" customWidth="1"/>
    <col min="2563" max="2564" width="6.81640625" style="4" bestFit="1" customWidth="1"/>
    <col min="2565" max="2565" width="63.26953125" style="4" customWidth="1"/>
    <col min="2566" max="2816" width="34.7265625" style="4"/>
    <col min="2817" max="2817" width="6.81640625" style="4" bestFit="1" customWidth="1"/>
    <col min="2818" max="2818" width="10.81640625" style="4" bestFit="1" customWidth="1"/>
    <col min="2819" max="2820" width="6.81640625" style="4" bestFit="1" customWidth="1"/>
    <col min="2821" max="2821" width="63.26953125" style="4" customWidth="1"/>
    <col min="2822" max="3072" width="34.7265625" style="4"/>
    <col min="3073" max="3073" width="6.81640625" style="4" bestFit="1" customWidth="1"/>
    <col min="3074" max="3074" width="10.81640625" style="4" bestFit="1" customWidth="1"/>
    <col min="3075" max="3076" width="6.81640625" style="4" bestFit="1" customWidth="1"/>
    <col min="3077" max="3077" width="63.26953125" style="4" customWidth="1"/>
    <col min="3078" max="3328" width="34.7265625" style="4"/>
    <col min="3329" max="3329" width="6.81640625" style="4" bestFit="1" customWidth="1"/>
    <col min="3330" max="3330" width="10.81640625" style="4" bestFit="1" customWidth="1"/>
    <col min="3331" max="3332" width="6.81640625" style="4" bestFit="1" customWidth="1"/>
    <col min="3333" max="3333" width="63.26953125" style="4" customWidth="1"/>
    <col min="3334" max="3584" width="34.7265625" style="4"/>
    <col min="3585" max="3585" width="6.81640625" style="4" bestFit="1" customWidth="1"/>
    <col min="3586" max="3586" width="10.81640625" style="4" bestFit="1" customWidth="1"/>
    <col min="3587" max="3588" width="6.81640625" style="4" bestFit="1" customWidth="1"/>
    <col min="3589" max="3589" width="63.26953125" style="4" customWidth="1"/>
    <col min="3590" max="3840" width="34.7265625" style="4"/>
    <col min="3841" max="3841" width="6.81640625" style="4" bestFit="1" customWidth="1"/>
    <col min="3842" max="3842" width="10.81640625" style="4" bestFit="1" customWidth="1"/>
    <col min="3843" max="3844" width="6.81640625" style="4" bestFit="1" customWidth="1"/>
    <col min="3845" max="3845" width="63.26953125" style="4" customWidth="1"/>
    <col min="3846" max="4096" width="34.7265625" style="4"/>
    <col min="4097" max="4097" width="6.81640625" style="4" bestFit="1" customWidth="1"/>
    <col min="4098" max="4098" width="10.81640625" style="4" bestFit="1" customWidth="1"/>
    <col min="4099" max="4100" width="6.81640625" style="4" bestFit="1" customWidth="1"/>
    <col min="4101" max="4101" width="63.26953125" style="4" customWidth="1"/>
    <col min="4102" max="4352" width="34.7265625" style="4"/>
    <col min="4353" max="4353" width="6.81640625" style="4" bestFit="1" customWidth="1"/>
    <col min="4354" max="4354" width="10.81640625" style="4" bestFit="1" customWidth="1"/>
    <col min="4355" max="4356" width="6.81640625" style="4" bestFit="1" customWidth="1"/>
    <col min="4357" max="4357" width="63.26953125" style="4" customWidth="1"/>
    <col min="4358" max="4608" width="34.7265625" style="4"/>
    <col min="4609" max="4609" width="6.81640625" style="4" bestFit="1" customWidth="1"/>
    <col min="4610" max="4610" width="10.81640625" style="4" bestFit="1" customWidth="1"/>
    <col min="4611" max="4612" width="6.81640625" style="4" bestFit="1" customWidth="1"/>
    <col min="4613" max="4613" width="63.26953125" style="4" customWidth="1"/>
    <col min="4614" max="4864" width="34.7265625" style="4"/>
    <col min="4865" max="4865" width="6.81640625" style="4" bestFit="1" customWidth="1"/>
    <col min="4866" max="4866" width="10.81640625" style="4" bestFit="1" customWidth="1"/>
    <col min="4867" max="4868" width="6.81640625" style="4" bestFit="1" customWidth="1"/>
    <col min="4869" max="4869" width="63.26953125" style="4" customWidth="1"/>
    <col min="4870" max="5120" width="34.7265625" style="4"/>
    <col min="5121" max="5121" width="6.81640625" style="4" bestFit="1" customWidth="1"/>
    <col min="5122" max="5122" width="10.81640625" style="4" bestFit="1" customWidth="1"/>
    <col min="5123" max="5124" width="6.81640625" style="4" bestFit="1" customWidth="1"/>
    <col min="5125" max="5125" width="63.26953125" style="4" customWidth="1"/>
    <col min="5126" max="5376" width="34.7265625" style="4"/>
    <col min="5377" max="5377" width="6.81640625" style="4" bestFit="1" customWidth="1"/>
    <col min="5378" max="5378" width="10.81640625" style="4" bestFit="1" customWidth="1"/>
    <col min="5379" max="5380" width="6.81640625" style="4" bestFit="1" customWidth="1"/>
    <col min="5381" max="5381" width="63.26953125" style="4" customWidth="1"/>
    <col min="5382" max="5632" width="34.7265625" style="4"/>
    <col min="5633" max="5633" width="6.81640625" style="4" bestFit="1" customWidth="1"/>
    <col min="5634" max="5634" width="10.81640625" style="4" bestFit="1" customWidth="1"/>
    <col min="5635" max="5636" width="6.81640625" style="4" bestFit="1" customWidth="1"/>
    <col min="5637" max="5637" width="63.26953125" style="4" customWidth="1"/>
    <col min="5638" max="5888" width="34.7265625" style="4"/>
    <col min="5889" max="5889" width="6.81640625" style="4" bestFit="1" customWidth="1"/>
    <col min="5890" max="5890" width="10.81640625" style="4" bestFit="1" customWidth="1"/>
    <col min="5891" max="5892" width="6.81640625" style="4" bestFit="1" customWidth="1"/>
    <col min="5893" max="5893" width="63.26953125" style="4" customWidth="1"/>
    <col min="5894" max="6144" width="34.7265625" style="4"/>
    <col min="6145" max="6145" width="6.81640625" style="4" bestFit="1" customWidth="1"/>
    <col min="6146" max="6146" width="10.81640625" style="4" bestFit="1" customWidth="1"/>
    <col min="6147" max="6148" width="6.81640625" style="4" bestFit="1" customWidth="1"/>
    <col min="6149" max="6149" width="63.26953125" style="4" customWidth="1"/>
    <col min="6150" max="6400" width="34.7265625" style="4"/>
    <col min="6401" max="6401" width="6.81640625" style="4" bestFit="1" customWidth="1"/>
    <col min="6402" max="6402" width="10.81640625" style="4" bestFit="1" customWidth="1"/>
    <col min="6403" max="6404" width="6.81640625" style="4" bestFit="1" customWidth="1"/>
    <col min="6405" max="6405" width="63.26953125" style="4" customWidth="1"/>
    <col min="6406" max="6656" width="34.7265625" style="4"/>
    <col min="6657" max="6657" width="6.81640625" style="4" bestFit="1" customWidth="1"/>
    <col min="6658" max="6658" width="10.81640625" style="4" bestFit="1" customWidth="1"/>
    <col min="6659" max="6660" width="6.81640625" style="4" bestFit="1" customWidth="1"/>
    <col min="6661" max="6661" width="63.26953125" style="4" customWidth="1"/>
    <col min="6662" max="6912" width="34.7265625" style="4"/>
    <col min="6913" max="6913" width="6.81640625" style="4" bestFit="1" customWidth="1"/>
    <col min="6914" max="6914" width="10.81640625" style="4" bestFit="1" customWidth="1"/>
    <col min="6915" max="6916" width="6.81640625" style="4" bestFit="1" customWidth="1"/>
    <col min="6917" max="6917" width="63.26953125" style="4" customWidth="1"/>
    <col min="6918" max="7168" width="34.7265625" style="4"/>
    <col min="7169" max="7169" width="6.81640625" style="4" bestFit="1" customWidth="1"/>
    <col min="7170" max="7170" width="10.81640625" style="4" bestFit="1" customWidth="1"/>
    <col min="7171" max="7172" width="6.81640625" style="4" bestFit="1" customWidth="1"/>
    <col min="7173" max="7173" width="63.26953125" style="4" customWidth="1"/>
    <col min="7174" max="7424" width="34.7265625" style="4"/>
    <col min="7425" max="7425" width="6.81640625" style="4" bestFit="1" customWidth="1"/>
    <col min="7426" max="7426" width="10.81640625" style="4" bestFit="1" customWidth="1"/>
    <col min="7427" max="7428" width="6.81640625" style="4" bestFit="1" customWidth="1"/>
    <col min="7429" max="7429" width="63.26953125" style="4" customWidth="1"/>
    <col min="7430" max="7680" width="34.7265625" style="4"/>
    <col min="7681" max="7681" width="6.81640625" style="4" bestFit="1" customWidth="1"/>
    <col min="7682" max="7682" width="10.81640625" style="4" bestFit="1" customWidth="1"/>
    <col min="7683" max="7684" width="6.81640625" style="4" bestFit="1" customWidth="1"/>
    <col min="7685" max="7685" width="63.26953125" style="4" customWidth="1"/>
    <col min="7686" max="7936" width="34.7265625" style="4"/>
    <col min="7937" max="7937" width="6.81640625" style="4" bestFit="1" customWidth="1"/>
    <col min="7938" max="7938" width="10.81640625" style="4" bestFit="1" customWidth="1"/>
    <col min="7939" max="7940" width="6.81640625" style="4" bestFit="1" customWidth="1"/>
    <col min="7941" max="7941" width="63.26953125" style="4" customWidth="1"/>
    <col min="7942" max="8192" width="34.7265625" style="4"/>
    <col min="8193" max="8193" width="6.81640625" style="4" bestFit="1" customWidth="1"/>
    <col min="8194" max="8194" width="10.81640625" style="4" bestFit="1" customWidth="1"/>
    <col min="8195" max="8196" width="6.81640625" style="4" bestFit="1" customWidth="1"/>
    <col min="8197" max="8197" width="63.26953125" style="4" customWidth="1"/>
    <col min="8198" max="8448" width="34.7265625" style="4"/>
    <col min="8449" max="8449" width="6.81640625" style="4" bestFit="1" customWidth="1"/>
    <col min="8450" max="8450" width="10.81640625" style="4" bestFit="1" customWidth="1"/>
    <col min="8451" max="8452" width="6.81640625" style="4" bestFit="1" customWidth="1"/>
    <col min="8453" max="8453" width="63.26953125" style="4" customWidth="1"/>
    <col min="8454" max="8704" width="34.7265625" style="4"/>
    <col min="8705" max="8705" width="6.81640625" style="4" bestFit="1" customWidth="1"/>
    <col min="8706" max="8706" width="10.81640625" style="4" bestFit="1" customWidth="1"/>
    <col min="8707" max="8708" width="6.81640625" style="4" bestFit="1" customWidth="1"/>
    <col min="8709" max="8709" width="63.26953125" style="4" customWidth="1"/>
    <col min="8710" max="8960" width="34.7265625" style="4"/>
    <col min="8961" max="8961" width="6.81640625" style="4" bestFit="1" customWidth="1"/>
    <col min="8962" max="8962" width="10.81640625" style="4" bestFit="1" customWidth="1"/>
    <col min="8963" max="8964" width="6.81640625" style="4" bestFit="1" customWidth="1"/>
    <col min="8965" max="8965" width="63.26953125" style="4" customWidth="1"/>
    <col min="8966" max="9216" width="34.7265625" style="4"/>
    <col min="9217" max="9217" width="6.81640625" style="4" bestFit="1" customWidth="1"/>
    <col min="9218" max="9218" width="10.81640625" style="4" bestFit="1" customWidth="1"/>
    <col min="9219" max="9220" width="6.81640625" style="4" bestFit="1" customWidth="1"/>
    <col min="9221" max="9221" width="63.26953125" style="4" customWidth="1"/>
    <col min="9222" max="9472" width="34.7265625" style="4"/>
    <col min="9473" max="9473" width="6.81640625" style="4" bestFit="1" customWidth="1"/>
    <col min="9474" max="9474" width="10.81640625" style="4" bestFit="1" customWidth="1"/>
    <col min="9475" max="9476" width="6.81640625" style="4" bestFit="1" customWidth="1"/>
    <col min="9477" max="9477" width="63.26953125" style="4" customWidth="1"/>
    <col min="9478" max="9728" width="34.7265625" style="4"/>
    <col min="9729" max="9729" width="6.81640625" style="4" bestFit="1" customWidth="1"/>
    <col min="9730" max="9730" width="10.81640625" style="4" bestFit="1" customWidth="1"/>
    <col min="9731" max="9732" width="6.81640625" style="4" bestFit="1" customWidth="1"/>
    <col min="9733" max="9733" width="63.26953125" style="4" customWidth="1"/>
    <col min="9734" max="9984" width="34.7265625" style="4"/>
    <col min="9985" max="9985" width="6.81640625" style="4" bestFit="1" customWidth="1"/>
    <col min="9986" max="9986" width="10.81640625" style="4" bestFit="1" customWidth="1"/>
    <col min="9987" max="9988" width="6.81640625" style="4" bestFit="1" customWidth="1"/>
    <col min="9989" max="9989" width="63.26953125" style="4" customWidth="1"/>
    <col min="9990" max="10240" width="34.7265625" style="4"/>
    <col min="10241" max="10241" width="6.81640625" style="4" bestFit="1" customWidth="1"/>
    <col min="10242" max="10242" width="10.81640625" style="4" bestFit="1" customWidth="1"/>
    <col min="10243" max="10244" width="6.81640625" style="4" bestFit="1" customWidth="1"/>
    <col min="10245" max="10245" width="63.26953125" style="4" customWidth="1"/>
    <col min="10246" max="10496" width="34.7265625" style="4"/>
    <col min="10497" max="10497" width="6.81640625" style="4" bestFit="1" customWidth="1"/>
    <col min="10498" max="10498" width="10.81640625" style="4" bestFit="1" customWidth="1"/>
    <col min="10499" max="10500" width="6.81640625" style="4" bestFit="1" customWidth="1"/>
    <col min="10501" max="10501" width="63.26953125" style="4" customWidth="1"/>
    <col min="10502" max="10752" width="34.7265625" style="4"/>
    <col min="10753" max="10753" width="6.81640625" style="4" bestFit="1" customWidth="1"/>
    <col min="10754" max="10754" width="10.81640625" style="4" bestFit="1" customWidth="1"/>
    <col min="10755" max="10756" width="6.81640625" style="4" bestFit="1" customWidth="1"/>
    <col min="10757" max="10757" width="63.26953125" style="4" customWidth="1"/>
    <col min="10758" max="11008" width="34.7265625" style="4"/>
    <col min="11009" max="11009" width="6.81640625" style="4" bestFit="1" customWidth="1"/>
    <col min="11010" max="11010" width="10.81640625" style="4" bestFit="1" customWidth="1"/>
    <col min="11011" max="11012" width="6.81640625" style="4" bestFit="1" customWidth="1"/>
    <col min="11013" max="11013" width="63.26953125" style="4" customWidth="1"/>
    <col min="11014" max="11264" width="34.7265625" style="4"/>
    <col min="11265" max="11265" width="6.81640625" style="4" bestFit="1" customWidth="1"/>
    <col min="11266" max="11266" width="10.81640625" style="4" bestFit="1" customWidth="1"/>
    <col min="11267" max="11268" width="6.81640625" style="4" bestFit="1" customWidth="1"/>
    <col min="11269" max="11269" width="63.26953125" style="4" customWidth="1"/>
    <col min="11270" max="11520" width="34.7265625" style="4"/>
    <col min="11521" max="11521" width="6.81640625" style="4" bestFit="1" customWidth="1"/>
    <col min="11522" max="11522" width="10.81640625" style="4" bestFit="1" customWidth="1"/>
    <col min="11523" max="11524" width="6.81640625" style="4" bestFit="1" customWidth="1"/>
    <col min="11525" max="11525" width="63.26953125" style="4" customWidth="1"/>
    <col min="11526" max="11776" width="34.7265625" style="4"/>
    <col min="11777" max="11777" width="6.81640625" style="4" bestFit="1" customWidth="1"/>
    <col min="11778" max="11778" width="10.81640625" style="4" bestFit="1" customWidth="1"/>
    <col min="11779" max="11780" width="6.81640625" style="4" bestFit="1" customWidth="1"/>
    <col min="11781" max="11781" width="63.26953125" style="4" customWidth="1"/>
    <col min="11782" max="12032" width="34.7265625" style="4"/>
    <col min="12033" max="12033" width="6.81640625" style="4" bestFit="1" customWidth="1"/>
    <col min="12034" max="12034" width="10.81640625" style="4" bestFit="1" customWidth="1"/>
    <col min="12035" max="12036" width="6.81640625" style="4" bestFit="1" customWidth="1"/>
    <col min="12037" max="12037" width="63.26953125" style="4" customWidth="1"/>
    <col min="12038" max="12288" width="34.7265625" style="4"/>
    <col min="12289" max="12289" width="6.81640625" style="4" bestFit="1" customWidth="1"/>
    <col min="12290" max="12290" width="10.81640625" style="4" bestFit="1" customWidth="1"/>
    <col min="12291" max="12292" width="6.81640625" style="4" bestFit="1" customWidth="1"/>
    <col min="12293" max="12293" width="63.26953125" style="4" customWidth="1"/>
    <col min="12294" max="12544" width="34.7265625" style="4"/>
    <col min="12545" max="12545" width="6.81640625" style="4" bestFit="1" customWidth="1"/>
    <col min="12546" max="12546" width="10.81640625" style="4" bestFit="1" customWidth="1"/>
    <col min="12547" max="12548" width="6.81640625" style="4" bestFit="1" customWidth="1"/>
    <col min="12549" max="12549" width="63.26953125" style="4" customWidth="1"/>
    <col min="12550" max="12800" width="34.7265625" style="4"/>
    <col min="12801" max="12801" width="6.81640625" style="4" bestFit="1" customWidth="1"/>
    <col min="12802" max="12802" width="10.81640625" style="4" bestFit="1" customWidth="1"/>
    <col min="12803" max="12804" width="6.81640625" style="4" bestFit="1" customWidth="1"/>
    <col min="12805" max="12805" width="63.26953125" style="4" customWidth="1"/>
    <col min="12806" max="13056" width="34.7265625" style="4"/>
    <col min="13057" max="13057" width="6.81640625" style="4" bestFit="1" customWidth="1"/>
    <col min="13058" max="13058" width="10.81640625" style="4" bestFit="1" customWidth="1"/>
    <col min="13059" max="13060" width="6.81640625" style="4" bestFit="1" customWidth="1"/>
    <col min="13061" max="13061" width="63.26953125" style="4" customWidth="1"/>
    <col min="13062" max="13312" width="34.7265625" style="4"/>
    <col min="13313" max="13313" width="6.81640625" style="4" bestFit="1" customWidth="1"/>
    <col min="13314" max="13314" width="10.81640625" style="4" bestFit="1" customWidth="1"/>
    <col min="13315" max="13316" width="6.81640625" style="4" bestFit="1" customWidth="1"/>
    <col min="13317" max="13317" width="63.26953125" style="4" customWidth="1"/>
    <col min="13318" max="13568" width="34.7265625" style="4"/>
    <col min="13569" max="13569" width="6.81640625" style="4" bestFit="1" customWidth="1"/>
    <col min="13570" max="13570" width="10.81640625" style="4" bestFit="1" customWidth="1"/>
    <col min="13571" max="13572" width="6.81640625" style="4" bestFit="1" customWidth="1"/>
    <col min="13573" max="13573" width="63.26953125" style="4" customWidth="1"/>
    <col min="13574" max="13824" width="34.7265625" style="4"/>
    <col min="13825" max="13825" width="6.81640625" style="4" bestFit="1" customWidth="1"/>
    <col min="13826" max="13826" width="10.81640625" style="4" bestFit="1" customWidth="1"/>
    <col min="13827" max="13828" width="6.81640625" style="4" bestFit="1" customWidth="1"/>
    <col min="13829" max="13829" width="63.26953125" style="4" customWidth="1"/>
    <col min="13830" max="14080" width="34.7265625" style="4"/>
    <col min="14081" max="14081" width="6.81640625" style="4" bestFit="1" customWidth="1"/>
    <col min="14082" max="14082" width="10.81640625" style="4" bestFit="1" customWidth="1"/>
    <col min="14083" max="14084" width="6.81640625" style="4" bestFit="1" customWidth="1"/>
    <col min="14085" max="14085" width="63.26953125" style="4" customWidth="1"/>
    <col min="14086" max="14336" width="34.7265625" style="4"/>
    <col min="14337" max="14337" width="6.81640625" style="4" bestFit="1" customWidth="1"/>
    <col min="14338" max="14338" width="10.81640625" style="4" bestFit="1" customWidth="1"/>
    <col min="14339" max="14340" width="6.81640625" style="4" bestFit="1" customWidth="1"/>
    <col min="14341" max="14341" width="63.26953125" style="4" customWidth="1"/>
    <col min="14342" max="14592" width="34.7265625" style="4"/>
    <col min="14593" max="14593" width="6.81640625" style="4" bestFit="1" customWidth="1"/>
    <col min="14594" max="14594" width="10.81640625" style="4" bestFit="1" customWidth="1"/>
    <col min="14595" max="14596" width="6.81640625" style="4" bestFit="1" customWidth="1"/>
    <col min="14597" max="14597" width="63.26953125" style="4" customWidth="1"/>
    <col min="14598" max="14848" width="34.7265625" style="4"/>
    <col min="14849" max="14849" width="6.81640625" style="4" bestFit="1" customWidth="1"/>
    <col min="14850" max="14850" width="10.81640625" style="4" bestFit="1" customWidth="1"/>
    <col min="14851" max="14852" width="6.81640625" style="4" bestFit="1" customWidth="1"/>
    <col min="14853" max="14853" width="63.26953125" style="4" customWidth="1"/>
    <col min="14854" max="15104" width="34.7265625" style="4"/>
    <col min="15105" max="15105" width="6.81640625" style="4" bestFit="1" customWidth="1"/>
    <col min="15106" max="15106" width="10.81640625" style="4" bestFit="1" customWidth="1"/>
    <col min="15107" max="15108" width="6.81640625" style="4" bestFit="1" customWidth="1"/>
    <col min="15109" max="15109" width="63.26953125" style="4" customWidth="1"/>
    <col min="15110" max="15360" width="34.7265625" style="4"/>
    <col min="15361" max="15361" width="6.81640625" style="4" bestFit="1" customWidth="1"/>
    <col min="15362" max="15362" width="10.81640625" style="4" bestFit="1" customWidth="1"/>
    <col min="15363" max="15364" width="6.81640625" style="4" bestFit="1" customWidth="1"/>
    <col min="15365" max="15365" width="63.26953125" style="4" customWidth="1"/>
    <col min="15366" max="15616" width="34.7265625" style="4"/>
    <col min="15617" max="15617" width="6.81640625" style="4" bestFit="1" customWidth="1"/>
    <col min="15618" max="15618" width="10.81640625" style="4" bestFit="1" customWidth="1"/>
    <col min="15619" max="15620" width="6.81640625" style="4" bestFit="1" customWidth="1"/>
    <col min="15621" max="15621" width="63.26953125" style="4" customWidth="1"/>
    <col min="15622" max="15872" width="34.7265625" style="4"/>
    <col min="15873" max="15873" width="6.81640625" style="4" bestFit="1" customWidth="1"/>
    <col min="15874" max="15874" width="10.81640625" style="4" bestFit="1" customWidth="1"/>
    <col min="15875" max="15876" width="6.81640625" style="4" bestFit="1" customWidth="1"/>
    <col min="15877" max="15877" width="63.26953125" style="4" customWidth="1"/>
    <col min="15878" max="16128" width="34.7265625" style="4"/>
    <col min="16129" max="16129" width="6.81640625" style="4" bestFit="1" customWidth="1"/>
    <col min="16130" max="16130" width="10.81640625" style="4" bestFit="1" customWidth="1"/>
    <col min="16131" max="16132" width="6.81640625" style="4" bestFit="1" customWidth="1"/>
    <col min="16133" max="16133" width="63.26953125" style="4" customWidth="1"/>
    <col min="16134" max="16384" width="34.7265625" style="4"/>
  </cols>
  <sheetData>
    <row r="1" spans="1:5" x14ac:dyDescent="0.25">
      <c r="A1" s="18" t="s">
        <v>638</v>
      </c>
      <c r="B1" s="18" t="s">
        <v>639</v>
      </c>
      <c r="C1" s="18" t="s">
        <v>640</v>
      </c>
      <c r="D1" s="18" t="s">
        <v>641</v>
      </c>
      <c r="E1" s="18" t="s">
        <v>642</v>
      </c>
    </row>
    <row r="2" spans="1:5" ht="18" customHeight="1" x14ac:dyDescent="0.25">
      <c r="A2" s="19"/>
      <c r="B2" s="19"/>
      <c r="C2" s="19"/>
      <c r="D2" s="18"/>
      <c r="E2" s="18"/>
    </row>
    <row r="3" spans="1:5" ht="14" x14ac:dyDescent="0.25">
      <c r="A3" s="3">
        <v>1</v>
      </c>
      <c r="B3" s="3"/>
      <c r="C3" s="3"/>
      <c r="D3" s="3"/>
      <c r="E3" s="3" t="s">
        <v>332</v>
      </c>
    </row>
    <row r="4" spans="1:5" ht="13" x14ac:dyDescent="0.25">
      <c r="A4" s="5"/>
      <c r="B4" s="5"/>
      <c r="C4" s="5"/>
      <c r="D4" s="5"/>
      <c r="E4" s="5"/>
    </row>
    <row r="5" spans="1:5" ht="13" x14ac:dyDescent="0.25">
      <c r="A5" s="5"/>
      <c r="B5" s="6">
        <v>11</v>
      </c>
      <c r="C5" s="6"/>
      <c r="D5" s="6"/>
      <c r="E5" s="6" t="s">
        <v>333</v>
      </c>
    </row>
    <row r="6" spans="1:5" ht="13" x14ac:dyDescent="0.25">
      <c r="A6" s="5"/>
      <c r="B6" s="5"/>
      <c r="C6" s="5"/>
      <c r="D6" s="5"/>
      <c r="E6" s="5"/>
    </row>
    <row r="7" spans="1:5" ht="13" x14ac:dyDescent="0.25">
      <c r="A7" s="6"/>
      <c r="B7" s="6"/>
      <c r="C7" s="6">
        <v>111</v>
      </c>
      <c r="D7" s="6"/>
      <c r="E7" s="6" t="s">
        <v>334</v>
      </c>
    </row>
    <row r="8" spans="1:5" ht="13" x14ac:dyDescent="0.25">
      <c r="A8" s="5"/>
      <c r="B8" s="5"/>
      <c r="C8" s="5"/>
      <c r="D8" s="5"/>
      <c r="E8" s="5"/>
    </row>
    <row r="9" spans="1:5" ht="13" x14ac:dyDescent="0.25">
      <c r="A9" s="5"/>
      <c r="B9" s="5"/>
      <c r="C9" s="5"/>
      <c r="D9" s="5">
        <v>1115</v>
      </c>
      <c r="E9" s="5" t="s">
        <v>335</v>
      </c>
    </row>
    <row r="10" spans="1:5" ht="13" x14ac:dyDescent="0.25">
      <c r="A10" s="5"/>
      <c r="B10" s="5"/>
      <c r="C10" s="5"/>
      <c r="D10" s="5">
        <v>1116</v>
      </c>
      <c r="E10" s="5" t="s">
        <v>336</v>
      </c>
    </row>
    <row r="11" spans="1:5" ht="13" x14ac:dyDescent="0.25">
      <c r="A11" s="5"/>
      <c r="B11" s="5"/>
      <c r="C11" s="5"/>
      <c r="D11" s="5"/>
      <c r="E11" s="5"/>
    </row>
    <row r="12" spans="1:5" ht="13" x14ac:dyDescent="0.25">
      <c r="A12" s="6"/>
      <c r="B12" s="6"/>
      <c r="C12" s="6">
        <v>112</v>
      </c>
      <c r="D12" s="6"/>
      <c r="E12" s="6" t="s">
        <v>337</v>
      </c>
    </row>
    <row r="13" spans="1:5" ht="13" x14ac:dyDescent="0.25">
      <c r="A13" s="5"/>
      <c r="B13" s="5"/>
      <c r="C13" s="5"/>
      <c r="D13" s="5"/>
      <c r="E13" s="5"/>
    </row>
    <row r="14" spans="1:5" ht="13" x14ac:dyDescent="0.25">
      <c r="A14" s="5"/>
      <c r="B14" s="5"/>
      <c r="C14" s="5"/>
      <c r="D14" s="5">
        <v>1121</v>
      </c>
      <c r="E14" s="5" t="s">
        <v>2</v>
      </c>
    </row>
    <row r="15" spans="1:5" ht="13" x14ac:dyDescent="0.25">
      <c r="A15" s="5"/>
      <c r="B15" s="5"/>
      <c r="C15" s="5"/>
      <c r="D15" s="5">
        <v>1122</v>
      </c>
      <c r="E15" s="5" t="s">
        <v>3</v>
      </c>
    </row>
    <row r="16" spans="1:5" ht="13" x14ac:dyDescent="0.25">
      <c r="A16" s="5"/>
      <c r="B16" s="5"/>
      <c r="C16" s="5"/>
      <c r="D16" s="5">
        <v>1123</v>
      </c>
      <c r="E16" s="5" t="s">
        <v>4</v>
      </c>
    </row>
    <row r="17" spans="1:5" ht="13" x14ac:dyDescent="0.25">
      <c r="A17" s="5"/>
      <c r="B17" s="5"/>
      <c r="C17" s="5"/>
      <c r="D17" s="5"/>
      <c r="E17" s="5"/>
    </row>
    <row r="18" spans="1:5" ht="13" x14ac:dyDescent="0.25">
      <c r="A18" s="6"/>
      <c r="B18" s="6"/>
      <c r="C18" s="6">
        <v>113</v>
      </c>
      <c r="D18" s="6"/>
      <c r="E18" s="6" t="s">
        <v>338</v>
      </c>
    </row>
    <row r="19" spans="1:5" ht="13" x14ac:dyDescent="0.25">
      <c r="A19" s="5"/>
      <c r="B19" s="5"/>
      <c r="C19" s="5"/>
      <c r="D19" s="5"/>
      <c r="E19" s="5"/>
    </row>
    <row r="20" spans="1:5" ht="13" x14ac:dyDescent="0.25">
      <c r="A20" s="5"/>
      <c r="B20" s="5"/>
      <c r="C20" s="5"/>
      <c r="D20" s="5">
        <v>1131</v>
      </c>
      <c r="E20" s="5" t="s">
        <v>5</v>
      </c>
    </row>
    <row r="21" spans="1:5" ht="13" x14ac:dyDescent="0.25">
      <c r="A21" s="5"/>
      <c r="B21" s="5"/>
      <c r="C21" s="5"/>
      <c r="D21" s="5">
        <v>1132</v>
      </c>
      <c r="E21" s="5" t="s">
        <v>643</v>
      </c>
    </row>
    <row r="22" spans="1:5" ht="13" x14ac:dyDescent="0.25">
      <c r="A22" s="5"/>
      <c r="B22" s="5"/>
      <c r="C22" s="5"/>
      <c r="D22" s="5">
        <v>1133</v>
      </c>
      <c r="E22" s="5" t="s">
        <v>340</v>
      </c>
    </row>
    <row r="23" spans="1:5" ht="13" x14ac:dyDescent="0.25">
      <c r="A23" s="5"/>
      <c r="B23" s="5"/>
      <c r="C23" s="5"/>
      <c r="D23" s="5">
        <v>1134</v>
      </c>
      <c r="E23" s="5" t="s">
        <v>250</v>
      </c>
    </row>
    <row r="24" spans="1:5" ht="13" x14ac:dyDescent="0.25">
      <c r="A24" s="5"/>
      <c r="B24" s="5"/>
      <c r="C24" s="5"/>
      <c r="D24" s="5">
        <v>1135</v>
      </c>
      <c r="E24" s="5" t="s">
        <v>342</v>
      </c>
    </row>
    <row r="25" spans="1:5" ht="13" x14ac:dyDescent="0.25">
      <c r="A25" s="5"/>
      <c r="B25" s="5"/>
      <c r="C25" s="5"/>
      <c r="D25" s="5">
        <v>1136</v>
      </c>
      <c r="E25" s="5" t="s">
        <v>118</v>
      </c>
    </row>
    <row r="26" spans="1:5" ht="13" x14ac:dyDescent="0.25">
      <c r="A26" s="5"/>
      <c r="B26" s="5"/>
      <c r="C26" s="5"/>
      <c r="D26" s="5">
        <v>1139</v>
      </c>
      <c r="E26" s="5" t="s">
        <v>7</v>
      </c>
    </row>
    <row r="27" spans="1:5" ht="13" x14ac:dyDescent="0.25">
      <c r="A27" s="5"/>
      <c r="B27" s="5"/>
      <c r="C27" s="5"/>
      <c r="D27" s="5"/>
      <c r="E27" s="5"/>
    </row>
    <row r="28" spans="1:5" ht="13" x14ac:dyDescent="0.25">
      <c r="A28" s="6"/>
      <c r="B28" s="6"/>
      <c r="C28" s="6">
        <v>115</v>
      </c>
      <c r="D28" s="6"/>
      <c r="E28" s="6" t="s">
        <v>644</v>
      </c>
    </row>
    <row r="29" spans="1:5" ht="13" x14ac:dyDescent="0.25">
      <c r="A29" s="5"/>
      <c r="B29" s="5"/>
      <c r="C29" s="5"/>
      <c r="D29" s="5"/>
      <c r="E29" s="5"/>
    </row>
    <row r="30" spans="1:5" ht="13" x14ac:dyDescent="0.25">
      <c r="A30" s="5"/>
      <c r="B30" s="5"/>
      <c r="C30" s="5"/>
      <c r="D30" s="5">
        <v>1150</v>
      </c>
      <c r="E30" s="5" t="s">
        <v>645</v>
      </c>
    </row>
    <row r="31" spans="1:5" ht="13" x14ac:dyDescent="0.25">
      <c r="A31" s="5"/>
      <c r="B31" s="5"/>
      <c r="C31" s="5"/>
      <c r="D31" s="5"/>
      <c r="E31" s="5"/>
    </row>
    <row r="32" spans="1:5" ht="13" x14ac:dyDescent="0.25">
      <c r="A32" s="6"/>
      <c r="B32" s="6"/>
      <c r="C32" s="6">
        <v>116</v>
      </c>
      <c r="D32" s="6"/>
      <c r="E32" s="6" t="s">
        <v>646</v>
      </c>
    </row>
    <row r="33" spans="1:5" ht="13" x14ac:dyDescent="0.25">
      <c r="A33" s="5"/>
      <c r="B33" s="5"/>
      <c r="C33" s="5"/>
      <c r="D33" s="5"/>
      <c r="E33" s="5"/>
    </row>
    <row r="34" spans="1:5" ht="13" x14ac:dyDescent="0.25">
      <c r="A34" s="5"/>
      <c r="B34" s="5"/>
      <c r="C34" s="5"/>
      <c r="D34" s="5">
        <v>1161</v>
      </c>
      <c r="E34" s="5" t="s">
        <v>119</v>
      </c>
    </row>
    <row r="35" spans="1:5" ht="13" x14ac:dyDescent="0.25">
      <c r="A35" s="5"/>
      <c r="B35" s="5"/>
      <c r="C35" s="5"/>
      <c r="D35" s="5">
        <v>1162</v>
      </c>
      <c r="E35" s="5" t="s">
        <v>290</v>
      </c>
    </row>
    <row r="36" spans="1:5" ht="13" x14ac:dyDescent="0.25">
      <c r="A36" s="5"/>
      <c r="B36" s="5"/>
      <c r="C36" s="5"/>
      <c r="D36" s="5"/>
      <c r="E36" s="5"/>
    </row>
    <row r="37" spans="1:5" ht="13" x14ac:dyDescent="0.25">
      <c r="A37" s="6"/>
      <c r="B37" s="6"/>
      <c r="C37" s="6">
        <v>117</v>
      </c>
      <c r="D37" s="6"/>
      <c r="E37" s="6" t="s">
        <v>348</v>
      </c>
    </row>
    <row r="38" spans="1:5" ht="13" x14ac:dyDescent="0.25">
      <c r="A38" s="5"/>
      <c r="B38" s="5"/>
      <c r="C38" s="5"/>
      <c r="D38" s="5"/>
      <c r="E38" s="5"/>
    </row>
    <row r="39" spans="1:5" ht="13" x14ac:dyDescent="0.25">
      <c r="A39" s="5"/>
      <c r="B39" s="5"/>
      <c r="C39" s="5"/>
      <c r="D39" s="5">
        <v>1171</v>
      </c>
      <c r="E39" s="5" t="s">
        <v>295</v>
      </c>
    </row>
    <row r="40" spans="1:5" ht="13" x14ac:dyDescent="0.25">
      <c r="A40" s="5"/>
      <c r="B40" s="5"/>
      <c r="C40" s="5"/>
      <c r="D40" s="5">
        <v>1172</v>
      </c>
      <c r="E40" s="5" t="s">
        <v>349</v>
      </c>
    </row>
    <row r="41" spans="1:5" ht="13" x14ac:dyDescent="0.25">
      <c r="A41" s="5"/>
      <c r="B41" s="5"/>
      <c r="C41" s="5"/>
      <c r="D41" s="5">
        <v>1173</v>
      </c>
      <c r="E41" s="5" t="s">
        <v>350</v>
      </c>
    </row>
    <row r="42" spans="1:5" ht="13" x14ac:dyDescent="0.25">
      <c r="A42" s="5"/>
      <c r="B42" s="5"/>
      <c r="C42" s="5"/>
      <c r="D42" s="5"/>
      <c r="E42" s="5"/>
    </row>
    <row r="43" spans="1:5" ht="13" x14ac:dyDescent="0.25">
      <c r="A43" s="6"/>
      <c r="B43" s="6"/>
      <c r="C43" s="6">
        <v>118</v>
      </c>
      <c r="D43" s="6"/>
      <c r="E43" s="6" t="s">
        <v>351</v>
      </c>
    </row>
    <row r="44" spans="1:5" ht="13" x14ac:dyDescent="0.25">
      <c r="A44" s="5"/>
      <c r="B44" s="5"/>
      <c r="C44" s="5"/>
      <c r="D44" s="5"/>
      <c r="E44" s="5"/>
    </row>
    <row r="45" spans="1:5" ht="13" x14ac:dyDescent="0.25">
      <c r="A45" s="5"/>
      <c r="B45" s="5"/>
      <c r="C45" s="5"/>
      <c r="D45" s="5">
        <v>1181</v>
      </c>
      <c r="E45" s="5" t="s">
        <v>8</v>
      </c>
    </row>
    <row r="46" spans="1:5" ht="13" x14ac:dyDescent="0.25">
      <c r="A46" s="5"/>
      <c r="B46" s="5"/>
      <c r="C46" s="5"/>
      <c r="D46" s="5">
        <v>1184</v>
      </c>
      <c r="E46" s="5" t="s">
        <v>9</v>
      </c>
    </row>
    <row r="47" spans="1:5" ht="13" x14ac:dyDescent="0.25">
      <c r="A47" s="5"/>
      <c r="B47" s="5"/>
      <c r="C47" s="5"/>
      <c r="D47" s="5"/>
      <c r="E47" s="5"/>
    </row>
    <row r="48" spans="1:5" ht="13" x14ac:dyDescent="0.25">
      <c r="A48" s="6"/>
      <c r="B48" s="6"/>
      <c r="C48" s="6">
        <v>119</v>
      </c>
      <c r="D48" s="6"/>
      <c r="E48" s="6" t="s">
        <v>346</v>
      </c>
    </row>
    <row r="49" spans="1:5" ht="13" x14ac:dyDescent="0.25">
      <c r="A49" s="5"/>
      <c r="B49" s="5"/>
      <c r="C49" s="5"/>
      <c r="D49" s="5"/>
      <c r="E49" s="5"/>
    </row>
    <row r="50" spans="1:5" ht="13" x14ac:dyDescent="0.25">
      <c r="A50" s="5"/>
      <c r="B50" s="5"/>
      <c r="C50" s="5"/>
      <c r="D50" s="5">
        <v>1190</v>
      </c>
      <c r="E50" s="5" t="s">
        <v>347</v>
      </c>
    </row>
    <row r="51" spans="1:5" ht="13" x14ac:dyDescent="0.25">
      <c r="A51" s="5"/>
      <c r="B51" s="5"/>
      <c r="C51" s="5"/>
      <c r="D51" s="5"/>
      <c r="E51" s="5"/>
    </row>
    <row r="52" spans="1:5" ht="13" x14ac:dyDescent="0.25">
      <c r="A52" s="6"/>
      <c r="B52" s="6">
        <v>12</v>
      </c>
      <c r="C52" s="6"/>
      <c r="D52" s="6"/>
      <c r="E52" s="6" t="s">
        <v>352</v>
      </c>
    </row>
    <row r="53" spans="1:5" ht="13" x14ac:dyDescent="0.25">
      <c r="A53" s="5"/>
      <c r="B53" s="5"/>
      <c r="C53" s="5"/>
      <c r="D53" s="5"/>
      <c r="E53" s="5"/>
    </row>
    <row r="54" spans="1:5" ht="13" x14ac:dyDescent="0.25">
      <c r="A54" s="6"/>
      <c r="B54" s="6"/>
      <c r="C54" s="6">
        <v>121</v>
      </c>
      <c r="D54" s="6"/>
      <c r="E54" s="6" t="s">
        <v>353</v>
      </c>
    </row>
    <row r="55" spans="1:5" ht="13" x14ac:dyDescent="0.25">
      <c r="A55" s="5"/>
      <c r="B55" s="5"/>
      <c r="C55" s="5"/>
      <c r="D55" s="5"/>
      <c r="E55" s="5"/>
    </row>
    <row r="56" spans="1:5" ht="13" x14ac:dyDescent="0.25">
      <c r="A56" s="5"/>
      <c r="B56" s="5"/>
      <c r="C56" s="5"/>
      <c r="D56" s="5">
        <v>1211</v>
      </c>
      <c r="E56" s="5" t="s">
        <v>10</v>
      </c>
    </row>
    <row r="57" spans="1:5" ht="13" x14ac:dyDescent="0.25">
      <c r="A57" s="5"/>
      <c r="B57" s="5"/>
      <c r="C57" s="5"/>
      <c r="D57" s="5">
        <v>1213</v>
      </c>
      <c r="E57" s="5" t="s">
        <v>354</v>
      </c>
    </row>
    <row r="58" spans="1:5" ht="13" x14ac:dyDescent="0.25">
      <c r="A58" s="5"/>
      <c r="B58" s="5"/>
      <c r="C58" s="5"/>
      <c r="D58" s="5"/>
      <c r="E58" s="5"/>
    </row>
    <row r="59" spans="1:5" ht="13" x14ac:dyDescent="0.25">
      <c r="A59" s="6"/>
      <c r="B59" s="6"/>
      <c r="C59" s="6">
        <v>122</v>
      </c>
      <c r="D59" s="6"/>
      <c r="E59" s="6" t="s">
        <v>355</v>
      </c>
    </row>
    <row r="60" spans="1:5" ht="13" x14ac:dyDescent="0.25">
      <c r="A60" s="5"/>
      <c r="B60" s="5"/>
      <c r="C60" s="5"/>
      <c r="D60" s="5"/>
      <c r="E60" s="5"/>
    </row>
    <row r="61" spans="1:5" ht="13" x14ac:dyDescent="0.25">
      <c r="A61" s="5"/>
      <c r="B61" s="5"/>
      <c r="C61" s="5"/>
      <c r="D61" s="5">
        <v>1221</v>
      </c>
      <c r="E61" s="5" t="s">
        <v>356</v>
      </c>
    </row>
    <row r="62" spans="1:5" ht="13" x14ac:dyDescent="0.25">
      <c r="A62" s="5"/>
      <c r="B62" s="5"/>
      <c r="C62" s="5"/>
      <c r="D62" s="5">
        <v>1223</v>
      </c>
      <c r="E62" s="5" t="s">
        <v>357</v>
      </c>
    </row>
    <row r="63" spans="1:5" ht="13" x14ac:dyDescent="0.25">
      <c r="A63" s="5"/>
      <c r="B63" s="5"/>
      <c r="C63" s="5"/>
      <c r="D63" s="5">
        <v>1224</v>
      </c>
      <c r="E63" s="5" t="s">
        <v>358</v>
      </c>
    </row>
    <row r="64" spans="1:5" ht="13" x14ac:dyDescent="0.25">
      <c r="A64" s="5"/>
      <c r="B64" s="5"/>
      <c r="C64" s="5"/>
      <c r="D64" s="5">
        <v>1225</v>
      </c>
      <c r="E64" s="5" t="s">
        <v>647</v>
      </c>
    </row>
    <row r="65" spans="1:5" ht="13" x14ac:dyDescent="0.25">
      <c r="A65" s="5"/>
      <c r="B65" s="5"/>
      <c r="C65" s="5"/>
      <c r="D65" s="5">
        <v>1226</v>
      </c>
      <c r="E65" s="5" t="s">
        <v>361</v>
      </c>
    </row>
    <row r="66" spans="1:5" ht="13" x14ac:dyDescent="0.25">
      <c r="A66" s="5"/>
      <c r="B66" s="5"/>
      <c r="C66" s="5"/>
      <c r="D66" s="5"/>
      <c r="E66" s="5"/>
    </row>
    <row r="67" spans="1:5" ht="13" x14ac:dyDescent="0.25">
      <c r="A67" s="6"/>
      <c r="B67" s="6"/>
      <c r="C67" s="6">
        <v>124</v>
      </c>
      <c r="D67" s="6"/>
      <c r="E67" s="6" t="s">
        <v>362</v>
      </c>
    </row>
    <row r="68" spans="1:5" ht="13" x14ac:dyDescent="0.25">
      <c r="A68" s="5"/>
      <c r="B68" s="5"/>
      <c r="C68" s="5"/>
      <c r="D68" s="5"/>
      <c r="E68" s="5"/>
    </row>
    <row r="69" spans="1:5" ht="13" x14ac:dyDescent="0.25">
      <c r="A69" s="5"/>
      <c r="B69" s="5"/>
      <c r="C69" s="5"/>
      <c r="D69" s="5">
        <v>1241</v>
      </c>
      <c r="E69" s="5" t="s">
        <v>11</v>
      </c>
    </row>
    <row r="70" spans="1:5" ht="13" x14ac:dyDescent="0.25">
      <c r="A70" s="5"/>
      <c r="B70" s="5"/>
      <c r="C70" s="5"/>
      <c r="D70" s="5">
        <v>1242</v>
      </c>
      <c r="E70" s="5" t="s">
        <v>120</v>
      </c>
    </row>
    <row r="71" spans="1:5" ht="13" x14ac:dyDescent="0.25">
      <c r="A71" s="5"/>
      <c r="B71" s="5"/>
      <c r="C71" s="5"/>
      <c r="D71" s="5"/>
      <c r="E71" s="5"/>
    </row>
    <row r="72" spans="1:5" ht="13" x14ac:dyDescent="0.25">
      <c r="A72" s="6"/>
      <c r="B72" s="6"/>
      <c r="C72" s="6">
        <v>125</v>
      </c>
      <c r="D72" s="6"/>
      <c r="E72" s="6" t="s">
        <v>367</v>
      </c>
    </row>
    <row r="73" spans="1:5" ht="13" x14ac:dyDescent="0.25">
      <c r="A73" s="5"/>
      <c r="B73" s="5"/>
      <c r="C73" s="5"/>
      <c r="D73" s="5"/>
      <c r="E73" s="5"/>
    </row>
    <row r="74" spans="1:5" ht="13" x14ac:dyDescent="0.25">
      <c r="A74" s="5"/>
      <c r="B74" s="5"/>
      <c r="C74" s="5"/>
      <c r="D74" s="5">
        <v>1251</v>
      </c>
      <c r="E74" s="5" t="s">
        <v>249</v>
      </c>
    </row>
    <row r="75" spans="1:5" ht="13" x14ac:dyDescent="0.25">
      <c r="A75" s="5"/>
      <c r="B75" s="5"/>
      <c r="C75" s="5"/>
      <c r="D75" s="5">
        <v>1252</v>
      </c>
      <c r="E75" s="5" t="s">
        <v>121</v>
      </c>
    </row>
    <row r="76" spans="1:5" ht="13" x14ac:dyDescent="0.25">
      <c r="A76" s="5"/>
      <c r="B76" s="5"/>
      <c r="C76" s="5"/>
      <c r="D76" s="5">
        <v>1253</v>
      </c>
      <c r="E76" s="5" t="s">
        <v>368</v>
      </c>
    </row>
    <row r="77" spans="1:5" ht="13" x14ac:dyDescent="0.25">
      <c r="A77" s="5"/>
      <c r="B77" s="5"/>
      <c r="C77" s="5"/>
      <c r="D77" s="5">
        <v>1254</v>
      </c>
      <c r="E77" s="5" t="s">
        <v>648</v>
      </c>
    </row>
    <row r="78" spans="1:5" ht="13" x14ac:dyDescent="0.25">
      <c r="A78" s="5"/>
      <c r="B78" s="5"/>
      <c r="C78" s="5"/>
      <c r="D78" s="5">
        <v>1255</v>
      </c>
      <c r="E78" s="5" t="s">
        <v>289</v>
      </c>
    </row>
    <row r="79" spans="1:5" ht="13" x14ac:dyDescent="0.25">
      <c r="A79" s="5"/>
      <c r="B79" s="5"/>
      <c r="C79" s="5"/>
      <c r="D79" s="5">
        <v>1259</v>
      </c>
      <c r="E79" s="5" t="s">
        <v>294</v>
      </c>
    </row>
    <row r="80" spans="1:5" ht="13" x14ac:dyDescent="0.25">
      <c r="A80" s="5"/>
      <c r="B80" s="5"/>
      <c r="C80" s="5"/>
      <c r="D80" s="5"/>
      <c r="E80" s="5"/>
    </row>
    <row r="81" spans="1:5" ht="14" x14ac:dyDescent="0.25">
      <c r="A81" s="3">
        <v>2</v>
      </c>
      <c r="B81" s="3"/>
      <c r="C81" s="3"/>
      <c r="D81" s="3"/>
      <c r="E81" s="3" t="s">
        <v>372</v>
      </c>
    </row>
    <row r="82" spans="1:5" ht="13" x14ac:dyDescent="0.25">
      <c r="A82" s="5"/>
      <c r="B82" s="5"/>
      <c r="C82" s="5"/>
      <c r="D82" s="5"/>
      <c r="E82" s="5"/>
    </row>
    <row r="83" spans="1:5" ht="26" x14ac:dyDescent="0.25">
      <c r="A83" s="6"/>
      <c r="B83" s="6">
        <v>21</v>
      </c>
      <c r="C83" s="6"/>
      <c r="D83" s="6"/>
      <c r="E83" s="6" t="s">
        <v>373</v>
      </c>
    </row>
    <row r="84" spans="1:5" ht="13" x14ac:dyDescent="0.25">
      <c r="A84" s="5"/>
      <c r="B84" s="5"/>
      <c r="C84" s="5"/>
      <c r="D84" s="5"/>
      <c r="E84" s="5"/>
    </row>
    <row r="85" spans="1:5" ht="13" x14ac:dyDescent="0.25">
      <c r="A85" s="6"/>
      <c r="B85" s="6"/>
      <c r="C85" s="6">
        <v>211</v>
      </c>
      <c r="D85" s="6"/>
      <c r="E85" s="6" t="s">
        <v>374</v>
      </c>
    </row>
    <row r="86" spans="1:5" ht="13" x14ac:dyDescent="0.25">
      <c r="A86" s="5"/>
      <c r="B86" s="5"/>
      <c r="C86" s="5"/>
      <c r="D86" s="5"/>
      <c r="E86" s="5"/>
    </row>
    <row r="87" spans="1:5" ht="13" x14ac:dyDescent="0.25">
      <c r="A87" s="5"/>
      <c r="B87" s="5"/>
      <c r="C87" s="5"/>
      <c r="D87" s="5">
        <v>2111</v>
      </c>
      <c r="E87" s="5" t="s">
        <v>13</v>
      </c>
    </row>
    <row r="88" spans="1:5" ht="13" x14ac:dyDescent="0.25">
      <c r="A88" s="5"/>
      <c r="B88" s="5"/>
      <c r="C88" s="5"/>
      <c r="D88" s="5">
        <v>2112</v>
      </c>
      <c r="E88" s="5" t="s">
        <v>264</v>
      </c>
    </row>
    <row r="89" spans="1:5" ht="13" x14ac:dyDescent="0.25">
      <c r="A89" s="5"/>
      <c r="B89" s="5"/>
      <c r="C89" s="5"/>
      <c r="D89" s="5">
        <v>2113</v>
      </c>
      <c r="E89" s="5" t="s">
        <v>16</v>
      </c>
    </row>
    <row r="90" spans="1:5" ht="13" x14ac:dyDescent="0.25">
      <c r="A90" s="5"/>
      <c r="B90" s="5"/>
      <c r="C90" s="5"/>
      <c r="D90" s="5">
        <v>2114</v>
      </c>
      <c r="E90" s="5" t="s">
        <v>17</v>
      </c>
    </row>
    <row r="91" spans="1:5" ht="13" x14ac:dyDescent="0.25">
      <c r="A91" s="5"/>
      <c r="B91" s="5"/>
      <c r="C91" s="5"/>
      <c r="D91" s="5">
        <v>2119</v>
      </c>
      <c r="E91" s="5" t="s">
        <v>18</v>
      </c>
    </row>
    <row r="92" spans="1:5" ht="13" x14ac:dyDescent="0.25">
      <c r="A92" s="5"/>
      <c r="B92" s="5"/>
      <c r="C92" s="5"/>
      <c r="D92" s="5"/>
      <c r="E92" s="5"/>
    </row>
    <row r="93" spans="1:5" ht="13" x14ac:dyDescent="0.25">
      <c r="A93" s="6"/>
      <c r="B93" s="6"/>
      <c r="C93" s="6">
        <v>212</v>
      </c>
      <c r="D93" s="6"/>
      <c r="E93" s="6" t="s">
        <v>375</v>
      </c>
    </row>
    <row r="94" spans="1:5" ht="13" x14ac:dyDescent="0.25">
      <c r="A94" s="5"/>
      <c r="B94" s="5"/>
      <c r="C94" s="5"/>
      <c r="D94" s="5"/>
      <c r="E94" s="5"/>
    </row>
    <row r="95" spans="1:5" ht="13" x14ac:dyDescent="0.25">
      <c r="A95" s="5"/>
      <c r="B95" s="5"/>
      <c r="C95" s="5"/>
      <c r="D95" s="5">
        <v>2121</v>
      </c>
      <c r="E95" s="5" t="s">
        <v>19</v>
      </c>
    </row>
    <row r="96" spans="1:5" ht="13" x14ac:dyDescent="0.25">
      <c r="A96" s="5"/>
      <c r="B96" s="5"/>
      <c r="C96" s="5"/>
      <c r="D96" s="5">
        <v>2122</v>
      </c>
      <c r="E96" s="5" t="s">
        <v>20</v>
      </c>
    </row>
    <row r="97" spans="1:5" ht="13" x14ac:dyDescent="0.25">
      <c r="A97" s="5"/>
      <c r="B97" s="5"/>
      <c r="C97" s="5"/>
      <c r="D97" s="5">
        <v>2123</v>
      </c>
      <c r="E97" s="5" t="s">
        <v>21</v>
      </c>
    </row>
    <row r="98" spans="1:5" ht="13" x14ac:dyDescent="0.25">
      <c r="A98" s="5"/>
      <c r="B98" s="5"/>
      <c r="C98" s="5"/>
      <c r="D98" s="5">
        <v>2124</v>
      </c>
      <c r="E98" s="5" t="s">
        <v>22</v>
      </c>
    </row>
    <row r="99" spans="1:5" ht="13" x14ac:dyDescent="0.25">
      <c r="A99" s="5"/>
      <c r="B99" s="5"/>
      <c r="C99" s="5"/>
      <c r="D99" s="5">
        <v>2126</v>
      </c>
      <c r="E99" s="5" t="s">
        <v>122</v>
      </c>
    </row>
    <row r="100" spans="1:5" ht="13" x14ac:dyDescent="0.25">
      <c r="A100" s="5"/>
      <c r="B100" s="5"/>
      <c r="C100" s="5"/>
      <c r="D100" s="5">
        <v>2127</v>
      </c>
      <c r="E100" s="5" t="s">
        <v>23</v>
      </c>
    </row>
    <row r="101" spans="1:5" ht="13" x14ac:dyDescent="0.25">
      <c r="A101" s="5"/>
      <c r="B101" s="5"/>
      <c r="C101" s="5"/>
      <c r="D101" s="5">
        <v>2129</v>
      </c>
      <c r="E101" s="5" t="s">
        <v>26</v>
      </c>
    </row>
    <row r="102" spans="1:5" ht="13" x14ac:dyDescent="0.25">
      <c r="A102" s="5"/>
      <c r="B102" s="5"/>
      <c r="C102" s="5"/>
      <c r="D102" s="5"/>
      <c r="E102" s="5"/>
    </row>
    <row r="103" spans="1:5" ht="13" x14ac:dyDescent="0.25">
      <c r="A103" s="6"/>
      <c r="B103" s="6"/>
      <c r="C103" s="6">
        <v>213</v>
      </c>
      <c r="D103" s="6"/>
      <c r="E103" s="6" t="s">
        <v>649</v>
      </c>
    </row>
    <row r="104" spans="1:5" ht="13" x14ac:dyDescent="0.25">
      <c r="A104" s="5"/>
      <c r="B104" s="5"/>
      <c r="C104" s="5"/>
      <c r="D104" s="5"/>
      <c r="E104" s="5"/>
    </row>
    <row r="105" spans="1:5" ht="13" x14ac:dyDescent="0.25">
      <c r="A105" s="5"/>
      <c r="B105" s="5"/>
      <c r="C105" s="5"/>
      <c r="D105" s="5">
        <v>2133</v>
      </c>
      <c r="E105" s="5" t="s">
        <v>123</v>
      </c>
    </row>
    <row r="106" spans="1:5" ht="13" x14ac:dyDescent="0.25">
      <c r="A106" s="5"/>
      <c r="B106" s="5"/>
      <c r="C106" s="5"/>
      <c r="D106" s="5">
        <v>2134</v>
      </c>
      <c r="E106" s="5" t="s">
        <v>124</v>
      </c>
    </row>
    <row r="107" spans="1:5" ht="13" x14ac:dyDescent="0.25">
      <c r="A107" s="5"/>
      <c r="B107" s="5"/>
      <c r="C107" s="5"/>
      <c r="D107" s="5">
        <v>2135</v>
      </c>
      <c r="E107" s="5" t="s">
        <v>29</v>
      </c>
    </row>
    <row r="108" spans="1:5" ht="13" x14ac:dyDescent="0.25">
      <c r="A108" s="5"/>
      <c r="B108" s="5"/>
      <c r="C108" s="5"/>
      <c r="D108" s="5">
        <v>2136</v>
      </c>
      <c r="E108" s="5" t="s">
        <v>125</v>
      </c>
    </row>
    <row r="109" spans="1:5" ht="13" x14ac:dyDescent="0.25">
      <c r="A109" s="5"/>
      <c r="B109" s="5"/>
      <c r="C109" s="5"/>
      <c r="D109" s="5">
        <v>2137</v>
      </c>
      <c r="E109" s="5" t="s">
        <v>126</v>
      </c>
    </row>
    <row r="110" spans="1:5" ht="13" x14ac:dyDescent="0.25">
      <c r="A110" s="5"/>
      <c r="B110" s="5"/>
      <c r="C110" s="5"/>
      <c r="D110" s="5">
        <v>2139</v>
      </c>
      <c r="E110" s="5" t="s">
        <v>127</v>
      </c>
    </row>
    <row r="111" spans="1:5" ht="13" x14ac:dyDescent="0.25">
      <c r="A111" s="5"/>
      <c r="B111" s="5"/>
      <c r="C111" s="5"/>
      <c r="D111" s="5"/>
      <c r="E111" s="5"/>
    </row>
    <row r="112" spans="1:5" ht="13" x14ac:dyDescent="0.25">
      <c r="A112" s="6"/>
      <c r="B112" s="6"/>
      <c r="C112" s="6">
        <v>214</v>
      </c>
      <c r="D112" s="6"/>
      <c r="E112" s="6" t="s">
        <v>379</v>
      </c>
    </row>
    <row r="113" spans="1:5" ht="13" x14ac:dyDescent="0.25">
      <c r="A113" s="5"/>
      <c r="B113" s="5"/>
      <c r="C113" s="5"/>
      <c r="D113" s="5"/>
      <c r="E113" s="5"/>
    </row>
    <row r="114" spans="1:5" ht="13" x14ac:dyDescent="0.25">
      <c r="A114" s="5"/>
      <c r="B114" s="5"/>
      <c r="C114" s="5"/>
      <c r="D114" s="5">
        <v>2141</v>
      </c>
      <c r="E114" s="5" t="s">
        <v>34</v>
      </c>
    </row>
    <row r="115" spans="1:5" ht="13" x14ac:dyDescent="0.25">
      <c r="A115" s="5"/>
      <c r="B115" s="5"/>
      <c r="C115" s="5"/>
      <c r="D115" s="5">
        <v>2142</v>
      </c>
      <c r="E115" s="5" t="s">
        <v>35</v>
      </c>
    </row>
    <row r="116" spans="1:5" ht="13" x14ac:dyDescent="0.25">
      <c r="A116" s="5"/>
      <c r="B116" s="5"/>
      <c r="C116" s="5"/>
      <c r="D116" s="5"/>
      <c r="E116" s="5"/>
    </row>
    <row r="117" spans="1:5" ht="13" x14ac:dyDescent="0.25">
      <c r="A117" s="6"/>
      <c r="B117" s="6"/>
      <c r="C117" s="6">
        <v>215</v>
      </c>
      <c r="D117" s="6"/>
      <c r="E117" s="6" t="s">
        <v>650</v>
      </c>
    </row>
    <row r="118" spans="1:5" ht="13" x14ac:dyDescent="0.25">
      <c r="A118" s="5"/>
      <c r="B118" s="5"/>
      <c r="C118" s="5"/>
      <c r="D118" s="5"/>
      <c r="E118" s="5"/>
    </row>
    <row r="119" spans="1:5" ht="13" x14ac:dyDescent="0.25">
      <c r="A119" s="5"/>
      <c r="B119" s="5"/>
      <c r="C119" s="5"/>
      <c r="D119" s="5">
        <v>2150</v>
      </c>
      <c r="E119" s="5" t="s">
        <v>252</v>
      </c>
    </row>
    <row r="120" spans="1:5" ht="13" x14ac:dyDescent="0.25">
      <c r="A120" s="5"/>
      <c r="B120" s="5"/>
      <c r="C120" s="5"/>
      <c r="D120" s="5"/>
      <c r="E120" s="5"/>
    </row>
    <row r="121" spans="1:5" ht="13" x14ac:dyDescent="0.25">
      <c r="A121" s="6"/>
      <c r="B121" s="6">
        <v>22</v>
      </c>
      <c r="C121" s="6"/>
      <c r="D121" s="6"/>
      <c r="E121" s="6" t="s">
        <v>381</v>
      </c>
    </row>
    <row r="122" spans="1:5" ht="13" x14ac:dyDescent="0.25">
      <c r="A122" s="5"/>
      <c r="B122" s="5"/>
      <c r="C122" s="5"/>
      <c r="D122" s="5"/>
      <c r="E122" s="5"/>
    </row>
    <row r="123" spans="1:5" ht="13" x14ac:dyDescent="0.25">
      <c r="A123" s="6"/>
      <c r="B123" s="6"/>
      <c r="C123" s="6">
        <v>221</v>
      </c>
      <c r="D123" s="6"/>
      <c r="E123" s="6" t="s">
        <v>651</v>
      </c>
    </row>
    <row r="124" spans="1:5" ht="13" x14ac:dyDescent="0.25">
      <c r="A124" s="5"/>
      <c r="B124" s="5"/>
      <c r="C124" s="5"/>
      <c r="D124" s="5"/>
      <c r="E124" s="5"/>
    </row>
    <row r="125" spans="1:5" ht="13" x14ac:dyDescent="0.25">
      <c r="A125" s="5"/>
      <c r="B125" s="5"/>
      <c r="C125" s="5"/>
      <c r="D125" s="5">
        <v>2211</v>
      </c>
      <c r="E125" s="5" t="s">
        <v>128</v>
      </c>
    </row>
    <row r="126" spans="1:5" ht="13" x14ac:dyDescent="0.25">
      <c r="A126" s="5"/>
      <c r="B126" s="5"/>
      <c r="C126" s="5"/>
      <c r="D126" s="5">
        <v>2212</v>
      </c>
      <c r="E126" s="5" t="s">
        <v>265</v>
      </c>
    </row>
    <row r="127" spans="1:5" ht="13" x14ac:dyDescent="0.25">
      <c r="A127" s="5"/>
      <c r="B127" s="5"/>
      <c r="C127" s="5"/>
      <c r="D127" s="5">
        <v>2213</v>
      </c>
      <c r="E127" s="5" t="s">
        <v>48</v>
      </c>
    </row>
    <row r="128" spans="1:5" ht="13" x14ac:dyDescent="0.25">
      <c r="A128" s="5"/>
      <c r="B128" s="5"/>
      <c r="C128" s="5"/>
      <c r="D128" s="5">
        <v>2214</v>
      </c>
      <c r="E128" s="5" t="s">
        <v>129</v>
      </c>
    </row>
    <row r="129" spans="1:5" ht="13" x14ac:dyDescent="0.25">
      <c r="A129" s="5"/>
      <c r="B129" s="5"/>
      <c r="C129" s="5"/>
      <c r="D129" s="5">
        <v>2215</v>
      </c>
      <c r="E129" s="5" t="s">
        <v>50</v>
      </c>
    </row>
    <row r="130" spans="1:5" ht="13" x14ac:dyDescent="0.25">
      <c r="A130" s="5"/>
      <c r="B130" s="5"/>
      <c r="C130" s="5"/>
      <c r="D130" s="5">
        <v>2216</v>
      </c>
      <c r="E130" s="5" t="s">
        <v>47</v>
      </c>
    </row>
    <row r="131" spans="1:5" ht="13" x14ac:dyDescent="0.25">
      <c r="A131" s="5"/>
      <c r="B131" s="5"/>
      <c r="C131" s="5"/>
      <c r="D131" s="5">
        <v>2217</v>
      </c>
      <c r="E131" s="5" t="s">
        <v>51</v>
      </c>
    </row>
    <row r="132" spans="1:5" ht="13" x14ac:dyDescent="0.25">
      <c r="A132" s="5"/>
      <c r="B132" s="5"/>
      <c r="C132" s="5"/>
      <c r="D132" s="5">
        <v>2218</v>
      </c>
      <c r="E132" s="5" t="s">
        <v>53</v>
      </c>
    </row>
    <row r="133" spans="1:5" ht="13" x14ac:dyDescent="0.25">
      <c r="A133" s="5"/>
      <c r="B133" s="5"/>
      <c r="C133" s="5"/>
      <c r="D133" s="5">
        <v>2219</v>
      </c>
      <c r="E133" s="5" t="s">
        <v>130</v>
      </c>
    </row>
    <row r="134" spans="1:5" ht="13" x14ac:dyDescent="0.25">
      <c r="A134" s="5"/>
      <c r="B134" s="5"/>
      <c r="C134" s="5"/>
      <c r="D134" s="5"/>
      <c r="E134" s="5"/>
    </row>
    <row r="135" spans="1:5" ht="13" x14ac:dyDescent="0.25">
      <c r="A135" s="6"/>
      <c r="B135" s="6"/>
      <c r="C135" s="6">
        <v>222</v>
      </c>
      <c r="D135" s="6"/>
      <c r="E135" s="6" t="s">
        <v>383</v>
      </c>
    </row>
    <row r="136" spans="1:5" ht="13" x14ac:dyDescent="0.25">
      <c r="A136" s="5"/>
      <c r="B136" s="5"/>
      <c r="C136" s="5"/>
      <c r="D136" s="5"/>
      <c r="E136" s="5"/>
    </row>
    <row r="137" spans="1:5" ht="13" x14ac:dyDescent="0.25">
      <c r="A137" s="5"/>
      <c r="B137" s="5"/>
      <c r="C137" s="5"/>
      <c r="D137" s="5">
        <v>2221</v>
      </c>
      <c r="E137" s="5" t="s">
        <v>39</v>
      </c>
    </row>
    <row r="138" spans="1:5" ht="13" x14ac:dyDescent="0.25">
      <c r="A138" s="5"/>
      <c r="B138" s="5"/>
      <c r="C138" s="5"/>
      <c r="D138" s="5">
        <v>2222</v>
      </c>
      <c r="E138" s="5" t="s">
        <v>40</v>
      </c>
    </row>
    <row r="139" spans="1:5" ht="13" x14ac:dyDescent="0.25">
      <c r="A139" s="5"/>
      <c r="B139" s="5"/>
      <c r="C139" s="5"/>
      <c r="D139" s="5">
        <v>2223</v>
      </c>
      <c r="E139" s="5" t="s">
        <v>41</v>
      </c>
    </row>
    <row r="140" spans="1:5" ht="13" x14ac:dyDescent="0.25">
      <c r="A140" s="5"/>
      <c r="B140" s="5"/>
      <c r="C140" s="5"/>
      <c r="D140" s="5">
        <v>2229</v>
      </c>
      <c r="E140" s="5" t="s">
        <v>45</v>
      </c>
    </row>
    <row r="141" spans="1:5" ht="13" x14ac:dyDescent="0.25">
      <c r="A141" s="5"/>
      <c r="B141" s="5"/>
      <c r="C141" s="5"/>
      <c r="D141" s="5"/>
      <c r="E141" s="5"/>
    </row>
    <row r="142" spans="1:5" ht="13" x14ac:dyDescent="0.25">
      <c r="A142" s="6"/>
      <c r="B142" s="6"/>
      <c r="C142" s="6">
        <v>223</v>
      </c>
      <c r="D142" s="6"/>
      <c r="E142" s="6" t="s">
        <v>652</v>
      </c>
    </row>
    <row r="143" spans="1:5" ht="13" x14ac:dyDescent="0.25">
      <c r="A143" s="5"/>
      <c r="B143" s="5"/>
      <c r="C143" s="5"/>
      <c r="D143" s="5">
        <v>2231</v>
      </c>
      <c r="E143" s="5" t="s">
        <v>131</v>
      </c>
    </row>
    <row r="144" spans="1:5" ht="13" x14ac:dyDescent="0.25">
      <c r="A144" s="5"/>
      <c r="B144" s="5"/>
      <c r="C144" s="5"/>
      <c r="D144" s="5">
        <v>2232</v>
      </c>
      <c r="E144" s="5" t="s">
        <v>132</v>
      </c>
    </row>
    <row r="145" spans="1:5" ht="13" x14ac:dyDescent="0.25">
      <c r="A145" s="5"/>
      <c r="B145" s="5"/>
      <c r="C145" s="5"/>
      <c r="D145" s="5"/>
      <c r="E145" s="5"/>
    </row>
    <row r="146" spans="1:5" ht="13" x14ac:dyDescent="0.25">
      <c r="A146" s="6"/>
      <c r="B146" s="6">
        <v>23</v>
      </c>
      <c r="C146" s="6"/>
      <c r="D146" s="6"/>
      <c r="E146" s="6" t="s">
        <v>653</v>
      </c>
    </row>
    <row r="147" spans="1:5" ht="13" x14ac:dyDescent="0.25">
      <c r="A147" s="5"/>
      <c r="B147" s="5"/>
      <c r="C147" s="5"/>
      <c r="D147" s="5"/>
      <c r="E147" s="5"/>
    </row>
    <row r="148" spans="1:5" ht="13" x14ac:dyDescent="0.25">
      <c r="A148" s="6"/>
      <c r="B148" s="6"/>
      <c r="C148" s="6">
        <v>231</v>
      </c>
      <c r="D148" s="6"/>
      <c r="E148" s="6" t="s">
        <v>654</v>
      </c>
    </row>
    <row r="149" spans="1:5" ht="13" x14ac:dyDescent="0.25">
      <c r="A149" s="5"/>
      <c r="B149" s="5"/>
      <c r="C149" s="5"/>
      <c r="D149" s="5"/>
      <c r="E149" s="5"/>
    </row>
    <row r="150" spans="1:5" ht="13" x14ac:dyDescent="0.25">
      <c r="A150" s="5"/>
      <c r="B150" s="5"/>
      <c r="C150" s="5"/>
      <c r="D150" s="5">
        <v>2311</v>
      </c>
      <c r="E150" s="5" t="s">
        <v>55</v>
      </c>
    </row>
    <row r="151" spans="1:5" ht="13" x14ac:dyDescent="0.25">
      <c r="A151" s="5"/>
      <c r="B151" s="5"/>
      <c r="C151" s="5"/>
      <c r="D151" s="5">
        <v>2312</v>
      </c>
      <c r="E151" s="5" t="s">
        <v>303</v>
      </c>
    </row>
    <row r="152" spans="1:5" ht="13" x14ac:dyDescent="0.25">
      <c r="A152" s="5"/>
      <c r="B152" s="5"/>
      <c r="C152" s="5"/>
      <c r="D152" s="5">
        <v>2314</v>
      </c>
      <c r="E152" s="5" t="s">
        <v>56</v>
      </c>
    </row>
    <row r="153" spans="1:5" ht="13" x14ac:dyDescent="0.25">
      <c r="A153" s="5"/>
      <c r="B153" s="5"/>
      <c r="C153" s="5"/>
      <c r="D153" s="5">
        <v>2315</v>
      </c>
      <c r="E153" s="5" t="s">
        <v>655</v>
      </c>
    </row>
    <row r="154" spans="1:5" ht="13" x14ac:dyDescent="0.25">
      <c r="A154" s="5"/>
      <c r="B154" s="5"/>
      <c r="C154" s="5"/>
      <c r="D154" s="5">
        <v>2316</v>
      </c>
      <c r="E154" s="5" t="s">
        <v>656</v>
      </c>
    </row>
    <row r="155" spans="1:5" ht="13" x14ac:dyDescent="0.25">
      <c r="A155" s="5"/>
      <c r="B155" s="5"/>
      <c r="C155" s="5"/>
      <c r="D155" s="5">
        <v>2317</v>
      </c>
      <c r="E155" s="5" t="s">
        <v>657</v>
      </c>
    </row>
    <row r="156" spans="1:5" ht="13" x14ac:dyDescent="0.25">
      <c r="A156" s="5"/>
      <c r="B156" s="5"/>
      <c r="C156" s="5"/>
      <c r="D156" s="5">
        <v>2318</v>
      </c>
      <c r="E156" s="5" t="s">
        <v>404</v>
      </c>
    </row>
    <row r="157" spans="1:5" ht="13" x14ac:dyDescent="0.25">
      <c r="A157" s="5"/>
      <c r="B157" s="5"/>
      <c r="C157" s="5"/>
      <c r="D157" s="5">
        <v>2319</v>
      </c>
      <c r="E157" s="5" t="s">
        <v>658</v>
      </c>
    </row>
    <row r="158" spans="1:5" ht="13" x14ac:dyDescent="0.25">
      <c r="A158" s="5"/>
      <c r="B158" s="5"/>
      <c r="C158" s="5"/>
      <c r="D158" s="5"/>
      <c r="E158" s="5"/>
    </row>
    <row r="159" spans="1:5" ht="13" x14ac:dyDescent="0.25">
      <c r="A159" s="6"/>
      <c r="B159" s="6">
        <v>24</v>
      </c>
      <c r="C159" s="6"/>
      <c r="D159" s="6"/>
      <c r="E159" s="6" t="s">
        <v>407</v>
      </c>
    </row>
    <row r="160" spans="1:5" ht="13" x14ac:dyDescent="0.25">
      <c r="A160" s="5"/>
      <c r="B160" s="5"/>
      <c r="C160" s="5"/>
      <c r="D160" s="5"/>
      <c r="E160" s="5"/>
    </row>
    <row r="161" spans="1:5" ht="13" x14ac:dyDescent="0.25">
      <c r="A161" s="6"/>
      <c r="B161" s="6"/>
      <c r="C161" s="6">
        <v>241</v>
      </c>
      <c r="D161" s="6"/>
      <c r="E161" s="6" t="s">
        <v>408</v>
      </c>
    </row>
    <row r="162" spans="1:5" ht="13" x14ac:dyDescent="0.25">
      <c r="A162" s="5"/>
      <c r="B162" s="5"/>
      <c r="C162" s="5"/>
      <c r="D162" s="5"/>
      <c r="E162" s="5"/>
    </row>
    <row r="163" spans="1:5" ht="13" x14ac:dyDescent="0.25">
      <c r="A163" s="5"/>
      <c r="B163" s="5"/>
      <c r="C163" s="5"/>
      <c r="D163" s="5">
        <v>2412</v>
      </c>
      <c r="E163" s="5" t="s">
        <v>409</v>
      </c>
    </row>
    <row r="164" spans="1:5" ht="13" x14ac:dyDescent="0.25">
      <c r="A164" s="5"/>
      <c r="B164" s="5"/>
      <c r="C164" s="5"/>
      <c r="D164" s="5">
        <v>2413</v>
      </c>
      <c r="E164" s="5" t="s">
        <v>659</v>
      </c>
    </row>
    <row r="165" spans="1:5" ht="13" x14ac:dyDescent="0.25">
      <c r="A165" s="5"/>
      <c r="B165" s="5"/>
      <c r="C165" s="5"/>
      <c r="D165" s="5">
        <v>2419</v>
      </c>
      <c r="E165" s="5" t="s">
        <v>248</v>
      </c>
    </row>
    <row r="166" spans="1:5" ht="13" x14ac:dyDescent="0.25">
      <c r="A166" s="5"/>
      <c r="B166" s="5"/>
      <c r="C166" s="5"/>
      <c r="D166" s="5"/>
      <c r="E166" s="5"/>
    </row>
    <row r="167" spans="1:5" ht="13" x14ac:dyDescent="0.25">
      <c r="A167" s="6"/>
      <c r="B167" s="6"/>
      <c r="C167" s="6">
        <v>242</v>
      </c>
      <c r="D167" s="6"/>
      <c r="E167" s="6" t="s">
        <v>412</v>
      </c>
    </row>
    <row r="168" spans="1:5" ht="13" x14ac:dyDescent="0.25">
      <c r="A168" s="5"/>
      <c r="B168" s="5"/>
      <c r="C168" s="5"/>
      <c r="D168" s="5"/>
      <c r="E168" s="5"/>
    </row>
    <row r="169" spans="1:5" ht="13" x14ac:dyDescent="0.25">
      <c r="A169" s="5"/>
      <c r="B169" s="5"/>
      <c r="C169" s="5"/>
      <c r="D169" s="5">
        <v>2421</v>
      </c>
      <c r="E169" s="5" t="s">
        <v>57</v>
      </c>
    </row>
    <row r="170" spans="1:5" ht="13" x14ac:dyDescent="0.25">
      <c r="A170" s="5"/>
      <c r="B170" s="5"/>
      <c r="C170" s="5"/>
      <c r="D170" s="5">
        <v>2423</v>
      </c>
      <c r="E170" s="5" t="s">
        <v>60</v>
      </c>
    </row>
    <row r="171" spans="1:5" ht="13" x14ac:dyDescent="0.25">
      <c r="A171" s="5"/>
      <c r="B171" s="5"/>
      <c r="C171" s="5"/>
      <c r="D171" s="5">
        <v>2424</v>
      </c>
      <c r="E171" s="5" t="s">
        <v>64</v>
      </c>
    </row>
    <row r="172" spans="1:5" ht="13" x14ac:dyDescent="0.25">
      <c r="A172" s="5"/>
      <c r="B172" s="5"/>
      <c r="C172" s="5"/>
      <c r="D172" s="5">
        <v>2425</v>
      </c>
      <c r="E172" s="5" t="s">
        <v>61</v>
      </c>
    </row>
    <row r="173" spans="1:5" ht="13" x14ac:dyDescent="0.25">
      <c r="A173" s="5"/>
      <c r="B173" s="5"/>
      <c r="C173" s="5"/>
      <c r="D173" s="5">
        <v>2426</v>
      </c>
      <c r="E173" s="5" t="s">
        <v>62</v>
      </c>
    </row>
    <row r="174" spans="1:5" ht="13" x14ac:dyDescent="0.25">
      <c r="A174" s="5"/>
      <c r="B174" s="5"/>
      <c r="C174" s="5"/>
      <c r="D174" s="5">
        <v>2429</v>
      </c>
      <c r="E174" s="5" t="s">
        <v>63</v>
      </c>
    </row>
    <row r="175" spans="1:5" ht="13" x14ac:dyDescent="0.25">
      <c r="A175" s="5"/>
      <c r="B175" s="5"/>
      <c r="C175" s="5"/>
      <c r="D175" s="5"/>
      <c r="E175" s="5"/>
    </row>
    <row r="176" spans="1:5" ht="13" x14ac:dyDescent="0.25">
      <c r="A176" s="6"/>
      <c r="B176" s="6"/>
      <c r="C176" s="6">
        <v>243</v>
      </c>
      <c r="D176" s="6"/>
      <c r="E176" s="6" t="s">
        <v>660</v>
      </c>
    </row>
    <row r="177" spans="1:5" ht="13" x14ac:dyDescent="0.25">
      <c r="A177" s="5"/>
      <c r="B177" s="5"/>
      <c r="C177" s="5"/>
      <c r="D177" s="5"/>
      <c r="E177" s="5"/>
    </row>
    <row r="178" spans="1:5" ht="13" x14ac:dyDescent="0.25">
      <c r="A178" s="5"/>
      <c r="B178" s="5"/>
      <c r="C178" s="5"/>
      <c r="D178" s="5">
        <v>2431</v>
      </c>
      <c r="E178" s="5" t="s">
        <v>65</v>
      </c>
    </row>
    <row r="179" spans="1:5" ht="13" x14ac:dyDescent="0.25">
      <c r="A179" s="5"/>
      <c r="B179" s="5"/>
      <c r="C179" s="5"/>
      <c r="D179" s="5">
        <v>2432</v>
      </c>
      <c r="E179" s="5" t="s">
        <v>133</v>
      </c>
    </row>
    <row r="180" spans="1:5" ht="13" x14ac:dyDescent="0.25">
      <c r="A180" s="5"/>
      <c r="B180" s="5"/>
      <c r="C180" s="5"/>
      <c r="D180" s="5">
        <v>2433</v>
      </c>
      <c r="E180" s="5" t="s">
        <v>67</v>
      </c>
    </row>
    <row r="181" spans="1:5" ht="13" x14ac:dyDescent="0.25">
      <c r="A181" s="5"/>
      <c r="B181" s="5"/>
      <c r="C181" s="5"/>
      <c r="D181" s="5">
        <v>2434</v>
      </c>
      <c r="E181" s="5" t="s">
        <v>68</v>
      </c>
    </row>
    <row r="182" spans="1:5" ht="13" x14ac:dyDescent="0.25">
      <c r="A182" s="5"/>
      <c r="B182" s="5"/>
      <c r="C182" s="5"/>
      <c r="D182" s="5">
        <v>2435</v>
      </c>
      <c r="E182" s="5" t="s">
        <v>134</v>
      </c>
    </row>
    <row r="183" spans="1:5" ht="13" x14ac:dyDescent="0.25">
      <c r="A183" s="5"/>
      <c r="B183" s="5"/>
      <c r="C183" s="5"/>
      <c r="D183" s="5">
        <v>2436</v>
      </c>
      <c r="E183" s="5" t="s">
        <v>69</v>
      </c>
    </row>
    <row r="184" spans="1:5" ht="13" x14ac:dyDescent="0.25">
      <c r="A184" s="5"/>
      <c r="B184" s="5"/>
      <c r="C184" s="5"/>
      <c r="D184" s="5"/>
      <c r="E184" s="5"/>
    </row>
    <row r="185" spans="1:5" ht="13" x14ac:dyDescent="0.25">
      <c r="A185" s="6"/>
      <c r="B185" s="6"/>
      <c r="C185" s="6">
        <v>244</v>
      </c>
      <c r="D185" s="6"/>
      <c r="E185" s="6" t="s">
        <v>416</v>
      </c>
    </row>
    <row r="186" spans="1:5" ht="13" x14ac:dyDescent="0.25">
      <c r="A186" s="5"/>
      <c r="B186" s="5"/>
      <c r="C186" s="5"/>
      <c r="D186" s="5"/>
      <c r="E186" s="5"/>
    </row>
    <row r="187" spans="1:5" ht="13" x14ac:dyDescent="0.25">
      <c r="A187" s="5"/>
      <c r="B187" s="5"/>
      <c r="C187" s="5"/>
      <c r="D187" s="5">
        <v>2442</v>
      </c>
      <c r="E187" s="5" t="s">
        <v>135</v>
      </c>
    </row>
    <row r="188" spans="1:5" ht="13" x14ac:dyDescent="0.25">
      <c r="A188" s="5"/>
      <c r="B188" s="5"/>
      <c r="C188" s="5"/>
      <c r="D188" s="5">
        <v>2443</v>
      </c>
      <c r="E188" s="5" t="s">
        <v>417</v>
      </c>
    </row>
    <row r="189" spans="1:5" ht="13" x14ac:dyDescent="0.25">
      <c r="A189" s="5"/>
      <c r="B189" s="5"/>
      <c r="C189" s="5"/>
      <c r="D189" s="5">
        <v>2444</v>
      </c>
      <c r="E189" s="5" t="s">
        <v>418</v>
      </c>
    </row>
    <row r="190" spans="1:5" ht="13" x14ac:dyDescent="0.25">
      <c r="A190" s="5"/>
      <c r="B190" s="5"/>
      <c r="C190" s="5"/>
      <c r="D190" s="5">
        <v>2449</v>
      </c>
      <c r="E190" s="5" t="s">
        <v>136</v>
      </c>
    </row>
    <row r="191" spans="1:5" ht="13" x14ac:dyDescent="0.25">
      <c r="A191" s="5"/>
      <c r="B191" s="5"/>
      <c r="C191" s="5"/>
      <c r="D191" s="5"/>
      <c r="E191" s="5"/>
    </row>
    <row r="192" spans="1:5" ht="13" x14ac:dyDescent="0.25">
      <c r="A192" s="6"/>
      <c r="B192" s="6"/>
      <c r="C192" s="6">
        <v>245</v>
      </c>
      <c r="D192" s="6"/>
      <c r="E192" s="6" t="s">
        <v>420</v>
      </c>
    </row>
    <row r="193" spans="1:5" ht="13" x14ac:dyDescent="0.25">
      <c r="A193" s="5"/>
      <c r="B193" s="5"/>
      <c r="C193" s="5"/>
      <c r="D193" s="5"/>
      <c r="E193" s="5"/>
    </row>
    <row r="194" spans="1:5" ht="13" x14ac:dyDescent="0.25">
      <c r="A194" s="5"/>
      <c r="B194" s="5"/>
      <c r="C194" s="5"/>
      <c r="D194" s="5">
        <v>2451</v>
      </c>
      <c r="E194" s="5" t="s">
        <v>421</v>
      </c>
    </row>
    <row r="195" spans="1:5" ht="13" x14ac:dyDescent="0.25">
      <c r="A195" s="5"/>
      <c r="B195" s="5"/>
      <c r="C195" s="5"/>
      <c r="D195" s="5">
        <v>2452</v>
      </c>
      <c r="E195" s="5" t="s">
        <v>661</v>
      </c>
    </row>
    <row r="196" spans="1:5" ht="13" x14ac:dyDescent="0.25">
      <c r="A196" s="5"/>
      <c r="B196" s="5"/>
      <c r="C196" s="5"/>
      <c r="D196" s="5"/>
      <c r="E196" s="5"/>
    </row>
    <row r="197" spans="1:5" ht="13" x14ac:dyDescent="0.25">
      <c r="A197" s="6"/>
      <c r="B197" s="6"/>
      <c r="C197" s="6">
        <v>246</v>
      </c>
      <c r="D197" s="6"/>
      <c r="E197" s="6" t="s">
        <v>424</v>
      </c>
    </row>
    <row r="198" spans="1:5" ht="13" x14ac:dyDescent="0.25">
      <c r="A198" s="5"/>
      <c r="B198" s="5"/>
      <c r="C198" s="5"/>
      <c r="D198" s="5"/>
      <c r="E198" s="5"/>
    </row>
    <row r="199" spans="1:5" ht="13" x14ac:dyDescent="0.25">
      <c r="A199" s="5"/>
      <c r="B199" s="5"/>
      <c r="C199" s="5"/>
      <c r="D199" s="5">
        <v>2461</v>
      </c>
      <c r="E199" s="5" t="s">
        <v>70</v>
      </c>
    </row>
    <row r="200" spans="1:5" ht="13" x14ac:dyDescent="0.25">
      <c r="A200" s="5"/>
      <c r="B200" s="5"/>
      <c r="C200" s="5"/>
      <c r="D200" s="5">
        <v>2462</v>
      </c>
      <c r="E200" s="5" t="s">
        <v>71</v>
      </c>
    </row>
    <row r="201" spans="1:5" ht="13" x14ac:dyDescent="0.25">
      <c r="A201" s="5"/>
      <c r="B201" s="5"/>
      <c r="C201" s="5"/>
      <c r="D201" s="5">
        <v>2463</v>
      </c>
      <c r="E201" s="5" t="s">
        <v>72</v>
      </c>
    </row>
    <row r="202" spans="1:5" ht="13" x14ac:dyDescent="0.25">
      <c r="A202" s="5"/>
      <c r="B202" s="5"/>
      <c r="C202" s="5"/>
      <c r="D202" s="5"/>
      <c r="E202" s="5"/>
    </row>
    <row r="203" spans="1:5" ht="13" x14ac:dyDescent="0.25">
      <c r="A203" s="6"/>
      <c r="B203" s="6"/>
      <c r="C203" s="6">
        <v>247</v>
      </c>
      <c r="D203" s="6"/>
      <c r="E203" s="6" t="s">
        <v>425</v>
      </c>
    </row>
    <row r="204" spans="1:5" ht="13" x14ac:dyDescent="0.25">
      <c r="A204" s="5"/>
      <c r="B204" s="5"/>
      <c r="C204" s="5"/>
      <c r="D204" s="5"/>
      <c r="E204" s="5"/>
    </row>
    <row r="205" spans="1:5" ht="13" x14ac:dyDescent="0.25">
      <c r="A205" s="5"/>
      <c r="B205" s="5"/>
      <c r="C205" s="5"/>
      <c r="D205" s="5">
        <v>2471</v>
      </c>
      <c r="E205" s="5" t="s">
        <v>662</v>
      </c>
    </row>
    <row r="206" spans="1:5" ht="13" x14ac:dyDescent="0.25">
      <c r="A206" s="5"/>
      <c r="B206" s="5"/>
      <c r="C206" s="5"/>
      <c r="D206" s="5">
        <v>2472</v>
      </c>
      <c r="E206" s="5" t="s">
        <v>247</v>
      </c>
    </row>
    <row r="207" spans="1:5" ht="13" x14ac:dyDescent="0.25">
      <c r="A207" s="5"/>
      <c r="B207" s="5"/>
      <c r="C207" s="5"/>
      <c r="D207" s="5">
        <v>2473</v>
      </c>
      <c r="E207" s="5" t="s">
        <v>430</v>
      </c>
    </row>
    <row r="208" spans="1:5" ht="13" x14ac:dyDescent="0.25">
      <c r="A208" s="5"/>
      <c r="B208" s="5"/>
      <c r="C208" s="5"/>
      <c r="D208" s="5"/>
      <c r="E208" s="5"/>
    </row>
    <row r="209" spans="1:5" ht="14" x14ac:dyDescent="0.25">
      <c r="A209" s="3">
        <v>3</v>
      </c>
      <c r="B209" s="3"/>
      <c r="C209" s="3"/>
      <c r="D209" s="3"/>
      <c r="E209" s="3" t="s">
        <v>663</v>
      </c>
    </row>
    <row r="210" spans="1:5" ht="13" x14ac:dyDescent="0.25">
      <c r="A210" s="5"/>
      <c r="B210" s="5"/>
      <c r="C210" s="5"/>
      <c r="D210" s="5"/>
      <c r="E210" s="5"/>
    </row>
    <row r="211" spans="1:5" ht="26" x14ac:dyDescent="0.25">
      <c r="A211" s="6"/>
      <c r="B211" s="6">
        <v>31</v>
      </c>
      <c r="C211" s="6"/>
      <c r="D211" s="6"/>
      <c r="E211" s="6" t="s">
        <v>432</v>
      </c>
    </row>
    <row r="212" spans="1:5" ht="13" x14ac:dyDescent="0.25">
      <c r="A212" s="5"/>
      <c r="B212" s="5"/>
      <c r="C212" s="5"/>
      <c r="D212" s="5"/>
      <c r="E212" s="5"/>
    </row>
    <row r="213" spans="1:5" ht="13" x14ac:dyDescent="0.25">
      <c r="A213" s="6"/>
      <c r="B213" s="6"/>
      <c r="C213" s="6">
        <v>311</v>
      </c>
      <c r="D213" s="6"/>
      <c r="E213" s="6" t="s">
        <v>433</v>
      </c>
    </row>
    <row r="214" spans="1:5" ht="13" x14ac:dyDescent="0.25">
      <c r="A214" s="5"/>
      <c r="B214" s="5"/>
      <c r="C214" s="5"/>
      <c r="D214" s="5"/>
      <c r="E214" s="5"/>
    </row>
    <row r="215" spans="1:5" ht="13" x14ac:dyDescent="0.25">
      <c r="A215" s="5"/>
      <c r="B215" s="5"/>
      <c r="C215" s="5"/>
      <c r="D215" s="5">
        <v>3111</v>
      </c>
      <c r="E215" s="5" t="s">
        <v>73</v>
      </c>
    </row>
    <row r="216" spans="1:5" ht="13" x14ac:dyDescent="0.25">
      <c r="A216" s="5"/>
      <c r="B216" s="5"/>
      <c r="C216" s="5"/>
      <c r="D216" s="5">
        <v>3112</v>
      </c>
      <c r="E216" s="5" t="s">
        <v>137</v>
      </c>
    </row>
    <row r="217" spans="1:5" ht="13" x14ac:dyDescent="0.25">
      <c r="A217" s="5"/>
      <c r="B217" s="5"/>
      <c r="C217" s="5"/>
      <c r="D217" s="5">
        <v>3113</v>
      </c>
      <c r="E217" s="5" t="s">
        <v>138</v>
      </c>
    </row>
    <row r="218" spans="1:5" ht="13" x14ac:dyDescent="0.25">
      <c r="A218" s="5"/>
      <c r="B218" s="5"/>
      <c r="C218" s="5"/>
      <c r="D218" s="5">
        <v>3114</v>
      </c>
      <c r="E218" s="5" t="s">
        <v>139</v>
      </c>
    </row>
    <row r="219" spans="1:5" ht="13" x14ac:dyDescent="0.25">
      <c r="A219" s="5"/>
      <c r="B219" s="5"/>
      <c r="C219" s="5"/>
      <c r="D219" s="5">
        <v>3115</v>
      </c>
      <c r="E219" s="5" t="s">
        <v>140</v>
      </c>
    </row>
    <row r="220" spans="1:5" ht="13" x14ac:dyDescent="0.25">
      <c r="A220" s="5"/>
      <c r="B220" s="5"/>
      <c r="C220" s="5"/>
      <c r="D220" s="5">
        <v>3116</v>
      </c>
      <c r="E220" s="5" t="s">
        <v>74</v>
      </c>
    </row>
    <row r="221" spans="1:5" ht="13" x14ac:dyDescent="0.25">
      <c r="A221" s="5"/>
      <c r="B221" s="5"/>
      <c r="C221" s="5"/>
      <c r="D221" s="5">
        <v>3119</v>
      </c>
      <c r="E221" s="5" t="s">
        <v>75</v>
      </c>
    </row>
    <row r="222" spans="1:5" ht="13" x14ac:dyDescent="0.25">
      <c r="A222" s="5"/>
      <c r="B222" s="5"/>
      <c r="C222" s="5"/>
      <c r="D222" s="5"/>
      <c r="E222" s="5"/>
    </row>
    <row r="223" spans="1:5" ht="13" x14ac:dyDescent="0.25">
      <c r="A223" s="6"/>
      <c r="B223" s="6"/>
      <c r="C223" s="6">
        <v>312</v>
      </c>
      <c r="D223" s="6"/>
      <c r="E223" s="6" t="s">
        <v>664</v>
      </c>
    </row>
    <row r="224" spans="1:5" ht="13" x14ac:dyDescent="0.25">
      <c r="A224" s="5"/>
      <c r="B224" s="5"/>
      <c r="C224" s="5"/>
      <c r="D224" s="5"/>
      <c r="E224" s="5"/>
    </row>
    <row r="225" spans="1:5" ht="13" x14ac:dyDescent="0.25">
      <c r="A225" s="5"/>
      <c r="B225" s="5"/>
      <c r="C225" s="5"/>
      <c r="D225" s="5">
        <v>3121</v>
      </c>
      <c r="E225" s="5" t="s">
        <v>141</v>
      </c>
    </row>
    <row r="226" spans="1:5" ht="13" x14ac:dyDescent="0.25">
      <c r="A226" s="5"/>
      <c r="B226" s="5"/>
      <c r="C226" s="5"/>
      <c r="D226" s="5">
        <v>3122</v>
      </c>
      <c r="E226" s="5" t="s">
        <v>142</v>
      </c>
    </row>
    <row r="227" spans="1:5" ht="13" x14ac:dyDescent="0.25">
      <c r="A227" s="5"/>
      <c r="B227" s="5"/>
      <c r="C227" s="5"/>
      <c r="D227" s="5"/>
      <c r="E227" s="5"/>
    </row>
    <row r="228" spans="1:5" ht="13" x14ac:dyDescent="0.25">
      <c r="A228" s="6"/>
      <c r="B228" s="6"/>
      <c r="C228" s="6">
        <v>313</v>
      </c>
      <c r="D228" s="6"/>
      <c r="E228" s="6" t="s">
        <v>435</v>
      </c>
    </row>
    <row r="229" spans="1:5" ht="13" x14ac:dyDescent="0.25">
      <c r="A229" s="5"/>
      <c r="B229" s="5"/>
      <c r="C229" s="5"/>
      <c r="D229" s="5"/>
      <c r="E229" s="5"/>
    </row>
    <row r="230" spans="1:5" ht="13" x14ac:dyDescent="0.25">
      <c r="A230" s="5"/>
      <c r="B230" s="5"/>
      <c r="C230" s="5"/>
      <c r="D230" s="5">
        <v>3131</v>
      </c>
      <c r="E230" s="5" t="s">
        <v>77</v>
      </c>
    </row>
    <row r="231" spans="1:5" ht="13" x14ac:dyDescent="0.25">
      <c r="A231" s="5"/>
      <c r="B231" s="5"/>
      <c r="C231" s="5"/>
      <c r="D231" s="5">
        <v>3132</v>
      </c>
      <c r="E231" s="5" t="s">
        <v>78</v>
      </c>
    </row>
    <row r="232" spans="1:5" ht="13" x14ac:dyDescent="0.25">
      <c r="A232" s="5"/>
      <c r="B232" s="5"/>
      <c r="C232" s="5"/>
      <c r="D232" s="5"/>
      <c r="E232" s="5"/>
    </row>
    <row r="233" spans="1:5" ht="13" x14ac:dyDescent="0.25">
      <c r="A233" s="6"/>
      <c r="B233" s="6">
        <v>32</v>
      </c>
      <c r="C233" s="6"/>
      <c r="D233" s="6"/>
      <c r="E233" s="6" t="s">
        <v>436</v>
      </c>
    </row>
    <row r="234" spans="1:5" ht="13" x14ac:dyDescent="0.25">
      <c r="A234" s="5"/>
      <c r="B234" s="5"/>
      <c r="C234" s="5"/>
      <c r="D234" s="5"/>
      <c r="E234" s="5"/>
    </row>
    <row r="235" spans="1:5" ht="13" x14ac:dyDescent="0.25">
      <c r="A235" s="6"/>
      <c r="B235" s="6"/>
      <c r="C235" s="6">
        <v>321</v>
      </c>
      <c r="D235" s="6"/>
      <c r="E235" s="6" t="s">
        <v>437</v>
      </c>
    </row>
    <row r="236" spans="1:5" ht="13" x14ac:dyDescent="0.25">
      <c r="A236" s="5"/>
      <c r="B236" s="5"/>
      <c r="C236" s="5"/>
      <c r="D236" s="5"/>
      <c r="E236" s="5"/>
    </row>
    <row r="237" spans="1:5" ht="13" x14ac:dyDescent="0.25">
      <c r="A237" s="5"/>
      <c r="B237" s="5"/>
      <c r="C237" s="5"/>
      <c r="D237" s="5">
        <v>3213</v>
      </c>
      <c r="E237" s="5" t="s">
        <v>52</v>
      </c>
    </row>
    <row r="238" spans="1:5" ht="13" x14ac:dyDescent="0.25">
      <c r="A238" s="5"/>
      <c r="B238" s="5"/>
      <c r="C238" s="5"/>
      <c r="D238" s="5">
        <v>3216</v>
      </c>
      <c r="E238" s="5" t="s">
        <v>80</v>
      </c>
    </row>
    <row r="239" spans="1:5" ht="13" x14ac:dyDescent="0.25">
      <c r="A239" s="5"/>
      <c r="B239" s="5"/>
      <c r="C239" s="5"/>
      <c r="D239" s="5">
        <v>3217</v>
      </c>
      <c r="E239" s="5" t="s">
        <v>81</v>
      </c>
    </row>
    <row r="240" spans="1:5" ht="13" x14ac:dyDescent="0.25">
      <c r="A240" s="5"/>
      <c r="B240" s="5"/>
      <c r="C240" s="5"/>
      <c r="D240" s="5">
        <v>3218</v>
      </c>
      <c r="E240" s="5" t="s">
        <v>82</v>
      </c>
    </row>
    <row r="241" spans="1:5" ht="13" x14ac:dyDescent="0.25">
      <c r="A241" s="5"/>
      <c r="B241" s="5"/>
      <c r="C241" s="5"/>
      <c r="D241" s="5">
        <v>3219</v>
      </c>
      <c r="E241" s="5" t="s">
        <v>84</v>
      </c>
    </row>
    <row r="242" spans="1:5" ht="13" x14ac:dyDescent="0.25">
      <c r="A242" s="5"/>
      <c r="B242" s="5"/>
      <c r="C242" s="5"/>
      <c r="D242" s="5"/>
      <c r="E242" s="5"/>
    </row>
    <row r="243" spans="1:5" ht="13" x14ac:dyDescent="0.25">
      <c r="A243" s="6"/>
      <c r="B243" s="6"/>
      <c r="C243" s="6">
        <v>323</v>
      </c>
      <c r="D243" s="6"/>
      <c r="E243" s="6" t="s">
        <v>438</v>
      </c>
    </row>
    <row r="244" spans="1:5" ht="13" x14ac:dyDescent="0.25">
      <c r="A244" s="5"/>
      <c r="B244" s="5"/>
      <c r="C244" s="5"/>
      <c r="D244" s="5"/>
      <c r="E244" s="5"/>
    </row>
    <row r="245" spans="1:5" ht="13" x14ac:dyDescent="0.25">
      <c r="A245" s="5"/>
      <c r="B245" s="5"/>
      <c r="C245" s="5"/>
      <c r="D245" s="5">
        <v>3231</v>
      </c>
      <c r="E245" s="5" t="s">
        <v>143</v>
      </c>
    </row>
    <row r="246" spans="1:5" ht="13" x14ac:dyDescent="0.25">
      <c r="A246" s="5"/>
      <c r="B246" s="5"/>
      <c r="C246" s="5"/>
      <c r="D246" s="5">
        <v>3233</v>
      </c>
      <c r="E246" s="5" t="s">
        <v>439</v>
      </c>
    </row>
    <row r="247" spans="1:5" ht="13" x14ac:dyDescent="0.25">
      <c r="A247" s="5"/>
      <c r="B247" s="5"/>
      <c r="C247" s="5"/>
      <c r="D247" s="5">
        <v>3234</v>
      </c>
      <c r="E247" s="5" t="s">
        <v>440</v>
      </c>
    </row>
    <row r="248" spans="1:5" ht="13" x14ac:dyDescent="0.25">
      <c r="A248" s="5"/>
      <c r="B248" s="5"/>
      <c r="C248" s="5"/>
      <c r="D248" s="5">
        <v>3235</v>
      </c>
      <c r="E248" s="5" t="s">
        <v>144</v>
      </c>
    </row>
    <row r="249" spans="1:5" ht="13" x14ac:dyDescent="0.25">
      <c r="A249" s="5"/>
      <c r="B249" s="5"/>
      <c r="C249" s="5"/>
      <c r="D249" s="5">
        <v>3239</v>
      </c>
      <c r="E249" s="5" t="s">
        <v>441</v>
      </c>
    </row>
    <row r="250" spans="1:5" ht="13" x14ac:dyDescent="0.25">
      <c r="A250" s="5"/>
      <c r="B250" s="5"/>
      <c r="C250" s="5"/>
      <c r="D250" s="5"/>
      <c r="E250" s="5"/>
    </row>
    <row r="251" spans="1:5" ht="13" x14ac:dyDescent="0.25">
      <c r="A251" s="6"/>
      <c r="B251" s="6">
        <v>33</v>
      </c>
      <c r="C251" s="6"/>
      <c r="D251" s="6"/>
      <c r="E251" s="6" t="s">
        <v>445</v>
      </c>
    </row>
    <row r="252" spans="1:5" ht="13" x14ac:dyDescent="0.25">
      <c r="A252" s="5"/>
      <c r="B252" s="5"/>
      <c r="C252" s="5"/>
      <c r="D252" s="5"/>
      <c r="E252" s="5"/>
    </row>
    <row r="253" spans="1:5" ht="13" x14ac:dyDescent="0.25">
      <c r="A253" s="6"/>
      <c r="B253" s="6"/>
      <c r="C253" s="6">
        <v>331</v>
      </c>
      <c r="D253" s="6"/>
      <c r="E253" s="6" t="s">
        <v>446</v>
      </c>
    </row>
    <row r="254" spans="1:5" ht="13" x14ac:dyDescent="0.25">
      <c r="A254" s="5"/>
      <c r="B254" s="5"/>
      <c r="C254" s="5"/>
      <c r="D254" s="5"/>
      <c r="E254" s="5"/>
    </row>
    <row r="255" spans="1:5" ht="13" x14ac:dyDescent="0.25">
      <c r="A255" s="5"/>
      <c r="B255" s="5"/>
      <c r="C255" s="5"/>
      <c r="D255" s="5">
        <v>3311</v>
      </c>
      <c r="E255" s="5" t="s">
        <v>323</v>
      </c>
    </row>
    <row r="256" spans="1:5" ht="13" x14ac:dyDescent="0.25">
      <c r="A256" s="5"/>
      <c r="B256" s="5"/>
      <c r="C256" s="5"/>
      <c r="D256" s="5">
        <v>3312</v>
      </c>
      <c r="E256" s="5" t="s">
        <v>447</v>
      </c>
    </row>
    <row r="257" spans="1:5" ht="13" x14ac:dyDescent="0.25">
      <c r="A257" s="5"/>
      <c r="B257" s="5"/>
      <c r="C257" s="5"/>
      <c r="D257" s="5">
        <v>3313</v>
      </c>
      <c r="E257" s="5" t="s">
        <v>256</v>
      </c>
    </row>
    <row r="258" spans="1:5" ht="13" x14ac:dyDescent="0.25">
      <c r="A258" s="5"/>
      <c r="B258" s="5"/>
      <c r="C258" s="5"/>
      <c r="D258" s="5">
        <v>3314</v>
      </c>
      <c r="E258" s="5" t="s">
        <v>448</v>
      </c>
    </row>
    <row r="259" spans="1:5" ht="13" x14ac:dyDescent="0.25">
      <c r="A259" s="5"/>
      <c r="B259" s="5"/>
      <c r="C259" s="5"/>
      <c r="D259" s="5">
        <v>3315</v>
      </c>
      <c r="E259" s="5" t="s">
        <v>565</v>
      </c>
    </row>
    <row r="260" spans="1:5" ht="13" x14ac:dyDescent="0.25">
      <c r="A260" s="5"/>
      <c r="B260" s="5"/>
      <c r="C260" s="5"/>
      <c r="D260" s="5">
        <v>3319</v>
      </c>
      <c r="E260" s="5" t="s">
        <v>258</v>
      </c>
    </row>
    <row r="261" spans="1:5" ht="13" x14ac:dyDescent="0.25">
      <c r="A261" s="5"/>
      <c r="B261" s="5"/>
      <c r="C261" s="5"/>
      <c r="D261" s="5"/>
      <c r="E261" s="5"/>
    </row>
    <row r="262" spans="1:5" ht="13" x14ac:dyDescent="0.25">
      <c r="A262" s="6"/>
      <c r="B262" s="6">
        <v>34</v>
      </c>
      <c r="C262" s="6"/>
      <c r="D262" s="6"/>
      <c r="E262" s="6" t="s">
        <v>449</v>
      </c>
    </row>
    <row r="263" spans="1:5" ht="13" x14ac:dyDescent="0.25">
      <c r="A263" s="5"/>
      <c r="B263" s="5"/>
      <c r="C263" s="5"/>
      <c r="D263" s="5"/>
      <c r="E263" s="5"/>
    </row>
    <row r="264" spans="1:5" ht="13" x14ac:dyDescent="0.25">
      <c r="A264" s="6"/>
      <c r="B264" s="6"/>
      <c r="C264" s="6">
        <v>341</v>
      </c>
      <c r="D264" s="6"/>
      <c r="E264" s="6" t="s">
        <v>450</v>
      </c>
    </row>
    <row r="265" spans="1:5" ht="13" x14ac:dyDescent="0.25">
      <c r="A265" s="5"/>
      <c r="B265" s="5"/>
      <c r="C265" s="5"/>
      <c r="D265" s="5"/>
      <c r="E265" s="5"/>
    </row>
    <row r="266" spans="1:5" ht="13" x14ac:dyDescent="0.25">
      <c r="A266" s="5"/>
      <c r="B266" s="5"/>
      <c r="C266" s="5"/>
      <c r="D266" s="5">
        <v>3411</v>
      </c>
      <c r="E266" s="5" t="s">
        <v>451</v>
      </c>
    </row>
    <row r="267" spans="1:5" ht="13" x14ac:dyDescent="0.25">
      <c r="A267" s="5"/>
      <c r="B267" s="5"/>
      <c r="C267" s="5"/>
      <c r="D267" s="5">
        <v>3412</v>
      </c>
      <c r="E267" s="5" t="s">
        <v>452</v>
      </c>
    </row>
    <row r="268" spans="1:5" ht="13" x14ac:dyDescent="0.25">
      <c r="A268" s="5"/>
      <c r="B268" s="5"/>
      <c r="C268" s="5"/>
      <c r="D268" s="5">
        <v>3413</v>
      </c>
      <c r="E268" s="5" t="s">
        <v>453</v>
      </c>
    </row>
    <row r="269" spans="1:5" ht="13" x14ac:dyDescent="0.25">
      <c r="A269" s="5"/>
      <c r="B269" s="5"/>
      <c r="C269" s="5"/>
      <c r="D269" s="5">
        <v>3414</v>
      </c>
      <c r="E269" s="5" t="s">
        <v>454</v>
      </c>
    </row>
    <row r="270" spans="1:5" ht="13" x14ac:dyDescent="0.25">
      <c r="A270" s="5"/>
      <c r="B270" s="5"/>
      <c r="C270" s="5"/>
      <c r="D270" s="5">
        <v>3415</v>
      </c>
      <c r="E270" s="5" t="s">
        <v>455</v>
      </c>
    </row>
    <row r="271" spans="1:5" ht="13" x14ac:dyDescent="0.25">
      <c r="A271" s="5"/>
      <c r="B271" s="5"/>
      <c r="C271" s="5"/>
      <c r="D271" s="5">
        <v>3416</v>
      </c>
      <c r="E271" s="5" t="s">
        <v>456</v>
      </c>
    </row>
    <row r="272" spans="1:5" ht="13" x14ac:dyDescent="0.25">
      <c r="A272" s="5"/>
      <c r="B272" s="5"/>
      <c r="C272" s="5"/>
      <c r="D272" s="5">
        <v>3417</v>
      </c>
      <c r="E272" s="5" t="s">
        <v>306</v>
      </c>
    </row>
    <row r="273" spans="1:5" ht="13" x14ac:dyDescent="0.25">
      <c r="A273" s="5"/>
      <c r="B273" s="5"/>
      <c r="C273" s="5"/>
      <c r="D273" s="5"/>
      <c r="E273" s="5"/>
    </row>
    <row r="274" spans="1:5" ht="13" x14ac:dyDescent="0.25">
      <c r="A274" s="6"/>
      <c r="B274" s="6"/>
      <c r="C274" s="6">
        <v>342</v>
      </c>
      <c r="D274" s="6"/>
      <c r="E274" s="6" t="s">
        <v>665</v>
      </c>
    </row>
    <row r="275" spans="1:5" ht="13" x14ac:dyDescent="0.25">
      <c r="A275" s="5"/>
      <c r="B275" s="5"/>
      <c r="C275" s="5"/>
      <c r="D275" s="5"/>
      <c r="E275" s="5"/>
    </row>
    <row r="276" spans="1:5" ht="13" x14ac:dyDescent="0.25">
      <c r="A276" s="5"/>
      <c r="B276" s="5"/>
      <c r="C276" s="5"/>
      <c r="D276" s="5">
        <v>3421</v>
      </c>
      <c r="E276" s="5" t="s">
        <v>293</v>
      </c>
    </row>
    <row r="277" spans="1:5" ht="13" x14ac:dyDescent="0.25">
      <c r="A277" s="5"/>
      <c r="B277" s="5"/>
      <c r="C277" s="5"/>
      <c r="D277" s="5">
        <v>3422</v>
      </c>
      <c r="E277" s="5" t="s">
        <v>288</v>
      </c>
    </row>
    <row r="278" spans="1:5" ht="13" x14ac:dyDescent="0.25">
      <c r="A278" s="5"/>
      <c r="B278" s="5"/>
      <c r="C278" s="5"/>
      <c r="D278" s="5"/>
      <c r="E278" s="5"/>
    </row>
    <row r="279" spans="1:5" ht="13" x14ac:dyDescent="0.25">
      <c r="A279" s="6"/>
      <c r="B279" s="6"/>
      <c r="C279" s="6">
        <v>344</v>
      </c>
      <c r="D279" s="6"/>
      <c r="E279" s="6" t="s">
        <v>460</v>
      </c>
    </row>
    <row r="280" spans="1:5" ht="13" x14ac:dyDescent="0.25">
      <c r="A280" s="5"/>
      <c r="B280" s="5"/>
      <c r="C280" s="5"/>
      <c r="D280" s="5"/>
      <c r="E280" s="5"/>
    </row>
    <row r="281" spans="1:5" ht="13" x14ac:dyDescent="0.25">
      <c r="A281" s="5"/>
      <c r="B281" s="5"/>
      <c r="C281" s="5"/>
      <c r="D281" s="5">
        <v>3441</v>
      </c>
      <c r="E281" s="5" t="s">
        <v>461</v>
      </c>
    </row>
    <row r="282" spans="1:5" ht="13" x14ac:dyDescent="0.25">
      <c r="A282" s="5"/>
      <c r="B282" s="5"/>
      <c r="C282" s="5"/>
      <c r="D282" s="5">
        <v>3442</v>
      </c>
      <c r="E282" s="5" t="s">
        <v>462</v>
      </c>
    </row>
    <row r="283" spans="1:5" ht="13" x14ac:dyDescent="0.25">
      <c r="A283" s="5"/>
      <c r="B283" s="5"/>
      <c r="C283" s="5"/>
      <c r="D283" s="5">
        <v>3443</v>
      </c>
      <c r="E283" s="5" t="s">
        <v>324</v>
      </c>
    </row>
    <row r="284" spans="1:5" ht="13" x14ac:dyDescent="0.25">
      <c r="A284" s="5"/>
      <c r="B284" s="5"/>
      <c r="C284" s="5"/>
      <c r="D284" s="5"/>
      <c r="E284" s="5"/>
    </row>
    <row r="285" spans="1:5" ht="13" x14ac:dyDescent="0.25">
      <c r="A285" s="6"/>
      <c r="B285" s="6">
        <v>35</v>
      </c>
      <c r="C285" s="6"/>
      <c r="D285" s="6"/>
      <c r="E285" s="6" t="s">
        <v>463</v>
      </c>
    </row>
    <row r="286" spans="1:5" ht="13" x14ac:dyDescent="0.25">
      <c r="A286" s="5"/>
      <c r="B286" s="5"/>
      <c r="C286" s="5"/>
      <c r="D286" s="5"/>
      <c r="E286" s="5"/>
    </row>
    <row r="287" spans="1:5" ht="13" x14ac:dyDescent="0.25">
      <c r="A287" s="6"/>
      <c r="B287" s="6"/>
      <c r="C287" s="6">
        <v>351</v>
      </c>
      <c r="D287" s="6"/>
      <c r="E287" s="6" t="s">
        <v>464</v>
      </c>
    </row>
    <row r="288" spans="1:5" ht="13" x14ac:dyDescent="0.25">
      <c r="A288" s="5"/>
      <c r="B288" s="5"/>
      <c r="C288" s="5"/>
      <c r="D288" s="5"/>
      <c r="E288" s="5"/>
    </row>
    <row r="289" spans="1:5" ht="13" x14ac:dyDescent="0.25">
      <c r="A289" s="5"/>
      <c r="B289" s="5"/>
      <c r="C289" s="5"/>
      <c r="D289" s="5">
        <v>3511</v>
      </c>
      <c r="E289" s="5" t="s">
        <v>145</v>
      </c>
    </row>
    <row r="290" spans="1:5" ht="13" x14ac:dyDescent="0.25">
      <c r="A290" s="5"/>
      <c r="B290" s="5"/>
      <c r="C290" s="5"/>
      <c r="D290" s="5">
        <v>3512</v>
      </c>
      <c r="E290" s="5" t="s">
        <v>146</v>
      </c>
    </row>
    <row r="291" spans="1:5" ht="13" x14ac:dyDescent="0.25">
      <c r="A291" s="5"/>
      <c r="B291" s="5"/>
      <c r="C291" s="5"/>
      <c r="D291" s="5">
        <v>3513</v>
      </c>
      <c r="E291" s="5" t="s">
        <v>147</v>
      </c>
    </row>
    <row r="292" spans="1:5" ht="15.5" x14ac:dyDescent="0.25">
      <c r="A292" s="7"/>
      <c r="B292" s="7"/>
      <c r="C292" s="7"/>
      <c r="D292" s="7"/>
      <c r="E292" s="7"/>
    </row>
    <row r="293" spans="1:5" ht="13" x14ac:dyDescent="0.25">
      <c r="A293" s="6"/>
      <c r="B293" s="6"/>
      <c r="C293" s="6">
        <v>352</v>
      </c>
      <c r="D293" s="6"/>
      <c r="E293" s="6" t="s">
        <v>465</v>
      </c>
    </row>
    <row r="294" spans="1:5" ht="13" x14ac:dyDescent="0.25">
      <c r="A294" s="5"/>
      <c r="B294" s="5"/>
      <c r="C294" s="5"/>
      <c r="D294" s="5"/>
      <c r="E294" s="5"/>
    </row>
    <row r="295" spans="1:5" ht="13" x14ac:dyDescent="0.25">
      <c r="A295" s="5"/>
      <c r="B295" s="5"/>
      <c r="C295" s="5"/>
      <c r="D295" s="5">
        <v>3520</v>
      </c>
      <c r="E295" s="5" t="s">
        <v>466</v>
      </c>
    </row>
    <row r="296" spans="1:5" ht="13" x14ac:dyDescent="0.25">
      <c r="A296" s="5"/>
      <c r="B296" s="5"/>
      <c r="C296" s="5"/>
      <c r="D296" s="5"/>
      <c r="E296" s="5"/>
    </row>
    <row r="297" spans="1:5" ht="13" x14ac:dyDescent="0.25">
      <c r="A297" s="6"/>
      <c r="B297" s="6"/>
      <c r="C297" s="6">
        <v>353</v>
      </c>
      <c r="D297" s="6"/>
      <c r="E297" s="6" t="s">
        <v>666</v>
      </c>
    </row>
    <row r="298" spans="1:5" ht="13" x14ac:dyDescent="0.25">
      <c r="A298" s="5"/>
      <c r="B298" s="5"/>
      <c r="C298" s="5"/>
      <c r="D298" s="5"/>
      <c r="E298" s="5"/>
    </row>
    <row r="299" spans="1:5" ht="13" x14ac:dyDescent="0.25">
      <c r="A299" s="5"/>
      <c r="B299" s="5"/>
      <c r="C299" s="5"/>
      <c r="D299" s="5">
        <v>3531</v>
      </c>
      <c r="E299" s="5" t="s">
        <v>88</v>
      </c>
    </row>
    <row r="300" spans="1:5" ht="13" x14ac:dyDescent="0.25">
      <c r="A300" s="5"/>
      <c r="B300" s="5"/>
      <c r="C300" s="5"/>
      <c r="D300" s="5">
        <v>3532</v>
      </c>
      <c r="E300" s="5" t="s">
        <v>85</v>
      </c>
    </row>
    <row r="301" spans="1:5" ht="13" x14ac:dyDescent="0.25">
      <c r="A301" s="5"/>
      <c r="B301" s="5"/>
      <c r="C301" s="5"/>
      <c r="D301" s="5">
        <v>3533</v>
      </c>
      <c r="E301" s="5" t="s">
        <v>86</v>
      </c>
    </row>
    <row r="302" spans="1:5" ht="13" x14ac:dyDescent="0.25">
      <c r="A302" s="5"/>
      <c r="B302" s="5"/>
      <c r="C302" s="5"/>
      <c r="D302" s="5">
        <v>3534</v>
      </c>
      <c r="E302" s="5" t="s">
        <v>58</v>
      </c>
    </row>
    <row r="303" spans="1:5" ht="13" x14ac:dyDescent="0.25">
      <c r="A303" s="5"/>
      <c r="B303" s="5"/>
      <c r="C303" s="5"/>
      <c r="D303" s="5">
        <v>3535</v>
      </c>
      <c r="E303" s="5" t="s">
        <v>59</v>
      </c>
    </row>
    <row r="304" spans="1:5" ht="13" x14ac:dyDescent="0.25">
      <c r="A304" s="5"/>
      <c r="B304" s="5"/>
      <c r="C304" s="5"/>
      <c r="D304" s="5">
        <v>3536</v>
      </c>
      <c r="E304" s="5" t="s">
        <v>89</v>
      </c>
    </row>
    <row r="305" spans="1:5" ht="13" x14ac:dyDescent="0.25">
      <c r="A305" s="5"/>
      <c r="B305" s="5"/>
      <c r="C305" s="5"/>
      <c r="D305" s="5">
        <v>3537</v>
      </c>
      <c r="E305" s="5" t="s">
        <v>87</v>
      </c>
    </row>
    <row r="306" spans="1:5" ht="13" x14ac:dyDescent="0.25">
      <c r="A306" s="5"/>
      <c r="B306" s="5"/>
      <c r="C306" s="5"/>
      <c r="D306" s="5">
        <v>3538</v>
      </c>
      <c r="E306" s="5" t="s">
        <v>468</v>
      </c>
    </row>
    <row r="307" spans="1:5" ht="13" x14ac:dyDescent="0.25">
      <c r="A307" s="5"/>
      <c r="B307" s="5"/>
      <c r="C307" s="5"/>
      <c r="D307" s="5">
        <v>3539</v>
      </c>
      <c r="E307" s="5" t="s">
        <v>246</v>
      </c>
    </row>
    <row r="308" spans="1:5" ht="13" x14ac:dyDescent="0.25">
      <c r="A308" s="5"/>
      <c r="B308" s="5"/>
      <c r="C308" s="5"/>
      <c r="D308" s="5"/>
      <c r="E308" s="5"/>
    </row>
    <row r="309" spans="1:5" ht="13" x14ac:dyDescent="0.25">
      <c r="A309" s="6"/>
      <c r="B309" s="6"/>
      <c r="C309" s="6">
        <v>354</v>
      </c>
      <c r="D309" s="6"/>
      <c r="E309" s="6" t="s">
        <v>471</v>
      </c>
    </row>
    <row r="310" spans="1:5" ht="13" x14ac:dyDescent="0.25">
      <c r="A310" s="5"/>
      <c r="B310" s="5"/>
      <c r="C310" s="5"/>
      <c r="D310" s="5"/>
      <c r="E310" s="5"/>
    </row>
    <row r="311" spans="1:5" ht="13" x14ac:dyDescent="0.25">
      <c r="A311" s="5"/>
      <c r="B311" s="5"/>
      <c r="C311" s="5"/>
      <c r="D311" s="5">
        <v>3541</v>
      </c>
      <c r="E311" s="5" t="s">
        <v>287</v>
      </c>
    </row>
    <row r="312" spans="1:5" ht="13" x14ac:dyDescent="0.25">
      <c r="A312" s="5"/>
      <c r="B312" s="5"/>
      <c r="C312" s="5"/>
      <c r="D312" s="5">
        <v>3542</v>
      </c>
      <c r="E312" s="5" t="s">
        <v>472</v>
      </c>
    </row>
    <row r="313" spans="1:5" ht="13" x14ac:dyDescent="0.25">
      <c r="A313" s="5"/>
      <c r="B313" s="5"/>
      <c r="C313" s="5"/>
      <c r="D313" s="5">
        <v>3543</v>
      </c>
      <c r="E313" s="5" t="s">
        <v>667</v>
      </c>
    </row>
    <row r="314" spans="1:5" ht="13" x14ac:dyDescent="0.25">
      <c r="A314" s="5"/>
      <c r="B314" s="5"/>
      <c r="C314" s="5"/>
      <c r="D314" s="5">
        <v>3544</v>
      </c>
      <c r="E314" s="5" t="s">
        <v>476</v>
      </c>
    </row>
    <row r="315" spans="1:5" ht="13" x14ac:dyDescent="0.25">
      <c r="A315" s="5"/>
      <c r="B315" s="5"/>
      <c r="C315" s="5"/>
      <c r="D315" s="5">
        <v>3545</v>
      </c>
      <c r="E315" s="5" t="s">
        <v>245</v>
      </c>
    </row>
    <row r="316" spans="1:5" ht="13" x14ac:dyDescent="0.25">
      <c r="A316" s="5"/>
      <c r="B316" s="5"/>
      <c r="C316" s="5"/>
      <c r="D316" s="5">
        <v>3546</v>
      </c>
      <c r="E316" s="5" t="s">
        <v>668</v>
      </c>
    </row>
    <row r="317" spans="1:5" ht="13" x14ac:dyDescent="0.25">
      <c r="A317" s="5"/>
      <c r="B317" s="5"/>
      <c r="C317" s="5"/>
      <c r="D317" s="5"/>
      <c r="E317" s="5"/>
    </row>
    <row r="318" spans="1:5" ht="13" x14ac:dyDescent="0.25">
      <c r="A318" s="6"/>
      <c r="B318" s="6"/>
      <c r="C318" s="6">
        <v>355</v>
      </c>
      <c r="D318" s="6"/>
      <c r="E318" s="6" t="s">
        <v>669</v>
      </c>
    </row>
    <row r="319" spans="1:5" ht="13" x14ac:dyDescent="0.25">
      <c r="A319" s="5"/>
      <c r="B319" s="5"/>
      <c r="C319" s="5"/>
      <c r="D319" s="5"/>
      <c r="E319" s="5"/>
    </row>
    <row r="320" spans="1:5" ht="13" x14ac:dyDescent="0.25">
      <c r="A320" s="5"/>
      <c r="B320" s="5"/>
      <c r="C320" s="5"/>
      <c r="D320" s="5">
        <v>3550</v>
      </c>
      <c r="E320" s="5" t="s">
        <v>670</v>
      </c>
    </row>
    <row r="321" spans="1:5" ht="13" x14ac:dyDescent="0.25">
      <c r="A321" s="5"/>
      <c r="B321" s="5"/>
      <c r="C321" s="5"/>
      <c r="D321" s="5"/>
      <c r="E321" s="5"/>
    </row>
    <row r="322" spans="1:5" ht="13" x14ac:dyDescent="0.25">
      <c r="A322" s="6"/>
      <c r="B322" s="6"/>
      <c r="C322" s="6">
        <v>356</v>
      </c>
      <c r="D322" s="6"/>
      <c r="E322" s="6" t="s">
        <v>671</v>
      </c>
    </row>
    <row r="323" spans="1:5" ht="13" x14ac:dyDescent="0.25">
      <c r="A323" s="5"/>
      <c r="B323" s="5"/>
      <c r="C323" s="5"/>
      <c r="D323" s="5"/>
      <c r="E323" s="5"/>
    </row>
    <row r="324" spans="1:5" ht="13" x14ac:dyDescent="0.25">
      <c r="A324" s="5"/>
      <c r="B324" s="5"/>
      <c r="C324" s="5"/>
      <c r="D324" s="5">
        <v>3561</v>
      </c>
      <c r="E324" s="5" t="s">
        <v>480</v>
      </c>
    </row>
    <row r="325" spans="1:5" ht="13" x14ac:dyDescent="0.25">
      <c r="A325" s="5"/>
      <c r="B325" s="5"/>
      <c r="C325" s="5"/>
      <c r="D325" s="5">
        <v>3562</v>
      </c>
      <c r="E325" s="5" t="s">
        <v>482</v>
      </c>
    </row>
    <row r="326" spans="1:5" ht="13" x14ac:dyDescent="0.25">
      <c r="A326" s="5"/>
      <c r="B326" s="5"/>
      <c r="C326" s="5"/>
      <c r="D326" s="5">
        <v>3563</v>
      </c>
      <c r="E326" s="5" t="s">
        <v>286</v>
      </c>
    </row>
    <row r="327" spans="1:5" ht="13" x14ac:dyDescent="0.25">
      <c r="A327" s="5"/>
      <c r="B327" s="5"/>
      <c r="C327" s="5"/>
      <c r="D327" s="5">
        <v>3564</v>
      </c>
      <c r="E327" s="5" t="s">
        <v>483</v>
      </c>
    </row>
    <row r="328" spans="1:5" ht="13" x14ac:dyDescent="0.25">
      <c r="A328" s="5"/>
      <c r="B328" s="5"/>
      <c r="C328" s="5"/>
      <c r="D328" s="5">
        <v>3565</v>
      </c>
      <c r="E328" s="5" t="s">
        <v>310</v>
      </c>
    </row>
    <row r="329" spans="1:5" ht="13" x14ac:dyDescent="0.25">
      <c r="A329" s="5"/>
      <c r="B329" s="5"/>
      <c r="C329" s="5"/>
      <c r="D329" s="5">
        <v>3567</v>
      </c>
      <c r="E329" s="5" t="s">
        <v>285</v>
      </c>
    </row>
    <row r="330" spans="1:5" ht="13" x14ac:dyDescent="0.25">
      <c r="A330" s="5"/>
      <c r="B330" s="5"/>
      <c r="C330" s="5"/>
      <c r="D330" s="5"/>
      <c r="E330" s="5"/>
    </row>
    <row r="331" spans="1:5" ht="14" x14ac:dyDescent="0.25">
      <c r="A331" s="3">
        <v>4</v>
      </c>
      <c r="B331" s="5"/>
      <c r="C331" s="5"/>
      <c r="D331" s="3"/>
      <c r="E331" s="3" t="s">
        <v>485</v>
      </c>
    </row>
    <row r="332" spans="1:5" x14ac:dyDescent="0.25">
      <c r="A332" s="8"/>
      <c r="B332" s="8"/>
      <c r="C332" s="8"/>
      <c r="D332" s="8"/>
      <c r="E332" s="8"/>
    </row>
    <row r="333" spans="1:5" ht="13" x14ac:dyDescent="0.25">
      <c r="A333" s="6"/>
      <c r="B333" s="6">
        <v>41</v>
      </c>
      <c r="C333" s="6"/>
      <c r="D333" s="6"/>
      <c r="E333" s="6" t="s">
        <v>486</v>
      </c>
    </row>
    <row r="334" spans="1:5" x14ac:dyDescent="0.25">
      <c r="A334" s="8"/>
      <c r="B334" s="8"/>
      <c r="C334" s="8"/>
      <c r="D334" s="8"/>
      <c r="E334" s="8"/>
    </row>
    <row r="335" spans="1:5" ht="13" x14ac:dyDescent="0.25">
      <c r="A335" s="6"/>
      <c r="B335" s="6"/>
      <c r="C335" s="6">
        <v>411</v>
      </c>
      <c r="D335" s="6"/>
      <c r="E335" s="6" t="s">
        <v>487</v>
      </c>
    </row>
    <row r="336" spans="1:5" x14ac:dyDescent="0.25">
      <c r="A336" s="8"/>
      <c r="B336" s="8"/>
      <c r="C336" s="8"/>
      <c r="D336" s="8"/>
      <c r="E336" s="8"/>
    </row>
    <row r="337" spans="1:5" ht="13" x14ac:dyDescent="0.25">
      <c r="A337" s="5"/>
      <c r="B337" s="5"/>
      <c r="C337" s="5"/>
      <c r="D337" s="5">
        <v>4112</v>
      </c>
      <c r="E337" s="5" t="s">
        <v>488</v>
      </c>
    </row>
    <row r="338" spans="1:5" ht="13" x14ac:dyDescent="0.25">
      <c r="A338" s="5"/>
      <c r="B338" s="5"/>
      <c r="C338" s="5"/>
      <c r="D338" s="5">
        <v>4113</v>
      </c>
      <c r="E338" s="5" t="s">
        <v>489</v>
      </c>
    </row>
    <row r="339" spans="1:5" ht="13" x14ac:dyDescent="0.25">
      <c r="A339" s="5"/>
      <c r="B339" s="5"/>
      <c r="C339" s="5"/>
      <c r="D339" s="5">
        <v>4114</v>
      </c>
      <c r="E339" s="5" t="s">
        <v>490</v>
      </c>
    </row>
    <row r="340" spans="1:5" x14ac:dyDescent="0.25">
      <c r="A340" s="8"/>
      <c r="B340" s="8"/>
      <c r="C340" s="8"/>
      <c r="D340" s="8"/>
      <c r="E340" s="8"/>
    </row>
    <row r="341" spans="1:5" ht="13" x14ac:dyDescent="0.25">
      <c r="A341" s="6"/>
      <c r="B341" s="6"/>
      <c r="C341" s="6">
        <v>412</v>
      </c>
      <c r="D341" s="6"/>
      <c r="E341" s="6" t="s">
        <v>491</v>
      </c>
    </row>
    <row r="342" spans="1:5" x14ac:dyDescent="0.25">
      <c r="A342" s="8"/>
      <c r="B342" s="8"/>
      <c r="C342" s="8"/>
      <c r="D342" s="8"/>
      <c r="E342" s="8"/>
    </row>
    <row r="343" spans="1:5" ht="13" x14ac:dyDescent="0.25">
      <c r="A343" s="5"/>
      <c r="B343" s="5"/>
      <c r="C343" s="5"/>
      <c r="D343" s="5">
        <v>4121</v>
      </c>
      <c r="E343" s="5" t="s">
        <v>312</v>
      </c>
    </row>
    <row r="344" spans="1:5" ht="13" x14ac:dyDescent="0.25">
      <c r="A344" s="5"/>
      <c r="B344" s="5"/>
      <c r="C344" s="5"/>
      <c r="D344" s="5">
        <v>4122</v>
      </c>
      <c r="E344" s="5" t="s">
        <v>313</v>
      </c>
    </row>
    <row r="345" spans="1:5" ht="13" x14ac:dyDescent="0.25">
      <c r="A345" s="5"/>
      <c r="B345" s="5"/>
      <c r="C345" s="5"/>
      <c r="D345" s="5">
        <v>4123</v>
      </c>
      <c r="E345" s="5" t="s">
        <v>492</v>
      </c>
    </row>
    <row r="346" spans="1:5" ht="13" x14ac:dyDescent="0.25">
      <c r="A346" s="5"/>
      <c r="B346" s="5"/>
      <c r="C346" s="5"/>
      <c r="D346" s="5">
        <v>4124</v>
      </c>
      <c r="E346" s="5" t="s">
        <v>314</v>
      </c>
    </row>
    <row r="347" spans="1:5" ht="13" x14ac:dyDescent="0.25">
      <c r="A347" s="5"/>
      <c r="B347" s="5"/>
      <c r="C347" s="5"/>
      <c r="D347" s="5">
        <v>4129</v>
      </c>
      <c r="E347" s="5" t="s">
        <v>315</v>
      </c>
    </row>
    <row r="348" spans="1:5" x14ac:dyDescent="0.25">
      <c r="A348" s="8"/>
      <c r="B348" s="8"/>
      <c r="C348" s="8"/>
      <c r="D348" s="8"/>
      <c r="E348" s="8"/>
    </row>
    <row r="349" spans="1:5" ht="13" x14ac:dyDescent="0.25">
      <c r="A349" s="6"/>
      <c r="B349" s="6"/>
      <c r="C349" s="6">
        <v>413</v>
      </c>
      <c r="D349" s="6"/>
      <c r="E349" s="6" t="s">
        <v>493</v>
      </c>
    </row>
    <row r="350" spans="1:5" x14ac:dyDescent="0.25">
      <c r="A350" s="8"/>
      <c r="B350" s="8"/>
      <c r="C350" s="8"/>
      <c r="D350" s="8"/>
      <c r="E350" s="8"/>
    </row>
    <row r="351" spans="1:5" ht="13" x14ac:dyDescent="0.25">
      <c r="A351" s="5"/>
      <c r="B351" s="5"/>
      <c r="C351" s="5"/>
      <c r="D351" s="5">
        <v>4131</v>
      </c>
      <c r="E351" s="5" t="s">
        <v>244</v>
      </c>
    </row>
    <row r="352" spans="1:5" ht="13" x14ac:dyDescent="0.25">
      <c r="A352" s="5"/>
      <c r="B352" s="5"/>
      <c r="C352" s="5"/>
      <c r="D352" s="5">
        <v>4132</v>
      </c>
      <c r="E352" s="5" t="s">
        <v>494</v>
      </c>
    </row>
    <row r="353" spans="1:5" ht="13" x14ac:dyDescent="0.25">
      <c r="A353" s="5"/>
      <c r="B353" s="5"/>
      <c r="C353" s="5"/>
      <c r="D353" s="5">
        <v>4133</v>
      </c>
      <c r="E353" s="5" t="s">
        <v>251</v>
      </c>
    </row>
    <row r="354" spans="1:5" ht="13" x14ac:dyDescent="0.25">
      <c r="A354" s="5"/>
      <c r="B354" s="5"/>
      <c r="C354" s="5"/>
      <c r="D354" s="5">
        <v>4134</v>
      </c>
      <c r="E354" s="5" t="s">
        <v>257</v>
      </c>
    </row>
    <row r="355" spans="1:5" ht="13" x14ac:dyDescent="0.25">
      <c r="A355" s="5"/>
      <c r="B355" s="5"/>
      <c r="C355" s="5"/>
      <c r="D355" s="5">
        <v>4135</v>
      </c>
      <c r="E355" s="5" t="s">
        <v>495</v>
      </c>
    </row>
    <row r="356" spans="1:5" ht="13" x14ac:dyDescent="0.25">
      <c r="A356" s="5"/>
      <c r="B356" s="5"/>
      <c r="C356" s="5"/>
      <c r="D356" s="5">
        <v>4138</v>
      </c>
      <c r="E356" s="5" t="s">
        <v>496</v>
      </c>
    </row>
    <row r="357" spans="1:5" x14ac:dyDescent="0.25">
      <c r="A357" s="8"/>
      <c r="B357" s="8"/>
      <c r="C357" s="8"/>
      <c r="D357" s="8"/>
      <c r="E357" s="8"/>
    </row>
    <row r="358" spans="1:5" ht="13" x14ac:dyDescent="0.25">
      <c r="A358" s="6"/>
      <c r="B358" s="6"/>
      <c r="C358" s="6">
        <v>415</v>
      </c>
      <c r="D358" s="6"/>
      <c r="E358" s="6" t="s">
        <v>501</v>
      </c>
    </row>
    <row r="359" spans="1:5" x14ac:dyDescent="0.25">
      <c r="A359" s="8"/>
      <c r="B359" s="8"/>
      <c r="C359" s="8"/>
      <c r="D359" s="8"/>
      <c r="E359" s="8"/>
    </row>
    <row r="360" spans="1:5" ht="13" x14ac:dyDescent="0.25">
      <c r="A360" s="5"/>
      <c r="B360" s="5"/>
      <c r="C360" s="5"/>
      <c r="D360" s="5">
        <v>4151</v>
      </c>
      <c r="E360" s="5" t="s">
        <v>502</v>
      </c>
    </row>
    <row r="361" spans="1:5" ht="13" x14ac:dyDescent="0.25">
      <c r="A361" s="5"/>
      <c r="B361" s="5"/>
      <c r="C361" s="5"/>
      <c r="D361" s="5">
        <v>4159</v>
      </c>
      <c r="E361" s="5" t="s">
        <v>260</v>
      </c>
    </row>
    <row r="362" spans="1:5" x14ac:dyDescent="0.25">
      <c r="A362" s="8"/>
      <c r="B362" s="8"/>
      <c r="C362" s="8"/>
      <c r="D362" s="8"/>
      <c r="E362" s="8"/>
    </row>
    <row r="363" spans="1:5" ht="13" x14ac:dyDescent="0.25">
      <c r="A363" s="6"/>
      <c r="B363" s="6"/>
      <c r="C363" s="6">
        <v>416</v>
      </c>
      <c r="D363" s="6"/>
      <c r="E363" s="6" t="s">
        <v>497</v>
      </c>
    </row>
    <row r="364" spans="1:5" x14ac:dyDescent="0.25">
      <c r="A364" s="9"/>
      <c r="B364" s="9"/>
      <c r="C364" s="9"/>
      <c r="D364" s="9"/>
      <c r="E364" s="9"/>
    </row>
    <row r="365" spans="1:5" ht="13" x14ac:dyDescent="0.25">
      <c r="A365" s="5"/>
      <c r="B365" s="5"/>
      <c r="C365" s="5"/>
      <c r="D365" s="5">
        <v>4161</v>
      </c>
      <c r="E365" s="5" t="s">
        <v>498</v>
      </c>
    </row>
    <row r="366" spans="1:5" ht="13" x14ac:dyDescent="0.25">
      <c r="A366" s="5"/>
      <c r="B366" s="5"/>
      <c r="C366" s="5"/>
      <c r="D366" s="5">
        <v>4162</v>
      </c>
      <c r="E366" s="5" t="s">
        <v>499</v>
      </c>
    </row>
    <row r="367" spans="1:5" x14ac:dyDescent="0.25">
      <c r="A367" s="8"/>
      <c r="B367" s="8"/>
      <c r="C367" s="8"/>
      <c r="D367" s="8"/>
      <c r="E367" s="8"/>
    </row>
    <row r="368" spans="1:5" ht="13" x14ac:dyDescent="0.25">
      <c r="A368" s="6"/>
      <c r="B368" s="6">
        <v>42</v>
      </c>
      <c r="C368" s="6"/>
      <c r="D368" s="6"/>
      <c r="E368" s="6" t="s">
        <v>504</v>
      </c>
    </row>
    <row r="369" spans="1:5" x14ac:dyDescent="0.25">
      <c r="A369" s="8"/>
      <c r="B369" s="8"/>
      <c r="C369" s="8"/>
      <c r="D369" s="8"/>
      <c r="E369" s="8"/>
    </row>
    <row r="370" spans="1:5" ht="13" x14ac:dyDescent="0.25">
      <c r="A370" s="6"/>
      <c r="B370" s="6"/>
      <c r="C370" s="6">
        <v>421</v>
      </c>
      <c r="D370" s="6"/>
      <c r="E370" s="6" t="s">
        <v>505</v>
      </c>
    </row>
    <row r="371" spans="1:5" x14ac:dyDescent="0.25">
      <c r="A371" s="8"/>
      <c r="B371" s="8"/>
      <c r="C371" s="8"/>
      <c r="D371" s="8"/>
      <c r="E371" s="8"/>
    </row>
    <row r="372" spans="1:5" ht="13" x14ac:dyDescent="0.25">
      <c r="A372" s="5"/>
      <c r="B372" s="5"/>
      <c r="C372" s="5"/>
      <c r="D372" s="5">
        <v>4211</v>
      </c>
      <c r="E372" s="5" t="s">
        <v>506</v>
      </c>
    </row>
    <row r="373" spans="1:5" ht="13" x14ac:dyDescent="0.25">
      <c r="A373" s="5"/>
      <c r="B373" s="5"/>
      <c r="C373" s="5"/>
      <c r="D373" s="5">
        <v>4212</v>
      </c>
      <c r="E373" s="5" t="s">
        <v>507</v>
      </c>
    </row>
    <row r="374" spans="1:5" ht="13" x14ac:dyDescent="0.25">
      <c r="A374" s="5"/>
      <c r="B374" s="5"/>
      <c r="C374" s="5"/>
      <c r="D374" s="5">
        <v>4213</v>
      </c>
      <c r="E374" s="5" t="s">
        <v>508</v>
      </c>
    </row>
    <row r="375" spans="1:5" ht="13" x14ac:dyDescent="0.25">
      <c r="A375" s="5"/>
      <c r="B375" s="5"/>
      <c r="C375" s="5"/>
      <c r="D375" s="5">
        <v>4214</v>
      </c>
      <c r="E375" s="5" t="s">
        <v>672</v>
      </c>
    </row>
    <row r="376" spans="1:5" ht="13" x14ac:dyDescent="0.25">
      <c r="A376" s="5"/>
      <c r="B376" s="5"/>
      <c r="C376" s="5"/>
      <c r="D376" s="5">
        <v>4215</v>
      </c>
      <c r="E376" s="5" t="s">
        <v>510</v>
      </c>
    </row>
    <row r="377" spans="1:5" ht="13" x14ac:dyDescent="0.25">
      <c r="A377" s="5"/>
      <c r="B377" s="5"/>
      <c r="C377" s="5"/>
      <c r="D377" s="5">
        <v>4216</v>
      </c>
      <c r="E377" s="5" t="s">
        <v>511</v>
      </c>
    </row>
    <row r="378" spans="1:5" ht="13" x14ac:dyDescent="0.25">
      <c r="A378" s="5"/>
      <c r="B378" s="5"/>
      <c r="C378" s="5"/>
      <c r="D378" s="5">
        <v>4217</v>
      </c>
      <c r="E378" s="5" t="s">
        <v>512</v>
      </c>
    </row>
    <row r="379" spans="1:5" ht="13" x14ac:dyDescent="0.25">
      <c r="A379" s="5"/>
      <c r="B379" s="5"/>
      <c r="C379" s="5"/>
      <c r="D379" s="5"/>
      <c r="E379" s="5"/>
    </row>
    <row r="380" spans="1:5" ht="14" x14ac:dyDescent="0.25">
      <c r="A380" s="3">
        <v>5</v>
      </c>
      <c r="B380" s="3"/>
      <c r="C380" s="3"/>
      <c r="D380" s="3"/>
      <c r="E380" s="3" t="s">
        <v>513</v>
      </c>
    </row>
    <row r="381" spans="1:5" ht="13" x14ac:dyDescent="0.25">
      <c r="A381" s="5"/>
      <c r="B381" s="5"/>
      <c r="C381" s="5"/>
      <c r="D381" s="5"/>
      <c r="E381" s="5"/>
    </row>
    <row r="382" spans="1:5" ht="13" x14ac:dyDescent="0.25">
      <c r="A382" s="6"/>
      <c r="B382" s="6">
        <v>51</v>
      </c>
      <c r="C382" s="6"/>
      <c r="D382" s="6"/>
      <c r="E382" s="6" t="s">
        <v>514</v>
      </c>
    </row>
    <row r="383" spans="1:5" ht="13" x14ac:dyDescent="0.25">
      <c r="A383" s="5"/>
      <c r="B383" s="5"/>
      <c r="C383" s="5"/>
      <c r="D383" s="5"/>
      <c r="E383" s="5"/>
    </row>
    <row r="384" spans="1:5" ht="13" x14ac:dyDescent="0.25">
      <c r="A384" s="6"/>
      <c r="B384" s="6"/>
      <c r="C384" s="6">
        <v>511</v>
      </c>
      <c r="D384" s="6"/>
      <c r="E384" s="6" t="s">
        <v>515</v>
      </c>
    </row>
    <row r="385" spans="1:5" ht="13" x14ac:dyDescent="0.25">
      <c r="A385" s="5"/>
      <c r="B385" s="5"/>
      <c r="C385" s="5"/>
      <c r="D385" s="5"/>
      <c r="E385" s="5"/>
    </row>
    <row r="386" spans="1:5" ht="13" x14ac:dyDescent="0.25">
      <c r="A386" s="5"/>
      <c r="B386" s="5"/>
      <c r="C386" s="5"/>
      <c r="D386" s="5">
        <v>5111</v>
      </c>
      <c r="E386" s="5" t="s">
        <v>92</v>
      </c>
    </row>
    <row r="387" spans="1:5" ht="13" x14ac:dyDescent="0.25">
      <c r="A387" s="5"/>
      <c r="B387" s="5"/>
      <c r="C387" s="5"/>
      <c r="D387" s="5">
        <v>5112</v>
      </c>
      <c r="E387" s="5" t="s">
        <v>93</v>
      </c>
    </row>
    <row r="388" spans="1:5" ht="13" x14ac:dyDescent="0.25">
      <c r="A388" s="5"/>
      <c r="B388" s="5"/>
      <c r="C388" s="5"/>
      <c r="D388" s="5">
        <v>5113</v>
      </c>
      <c r="E388" s="5" t="s">
        <v>516</v>
      </c>
    </row>
    <row r="389" spans="1:5" ht="13" x14ac:dyDescent="0.25">
      <c r="A389" s="5"/>
      <c r="B389" s="5"/>
      <c r="C389" s="5"/>
      <c r="D389" s="5">
        <v>5114</v>
      </c>
      <c r="E389" s="5" t="s">
        <v>255</v>
      </c>
    </row>
    <row r="390" spans="1:5" ht="13" x14ac:dyDescent="0.25">
      <c r="A390" s="5"/>
      <c r="B390" s="5"/>
      <c r="C390" s="5"/>
      <c r="D390" s="5">
        <v>5119</v>
      </c>
      <c r="E390" s="5" t="s">
        <v>517</v>
      </c>
    </row>
    <row r="391" spans="1:5" ht="13" x14ac:dyDescent="0.25">
      <c r="A391" s="5"/>
      <c r="B391" s="5"/>
      <c r="C391" s="5"/>
      <c r="D391" s="5"/>
      <c r="E391" s="5"/>
    </row>
    <row r="392" spans="1:5" ht="13" x14ac:dyDescent="0.25">
      <c r="A392" s="6"/>
      <c r="B392" s="6">
        <v>52</v>
      </c>
      <c r="C392" s="6"/>
      <c r="D392" s="6"/>
      <c r="E392" s="6" t="s">
        <v>518</v>
      </c>
    </row>
    <row r="393" spans="1:5" ht="13" x14ac:dyDescent="0.25">
      <c r="A393" s="5"/>
      <c r="B393" s="5"/>
      <c r="C393" s="5"/>
      <c r="D393" s="5"/>
      <c r="E393" s="5"/>
    </row>
    <row r="394" spans="1:5" ht="13" x14ac:dyDescent="0.25">
      <c r="A394" s="6"/>
      <c r="B394" s="6"/>
      <c r="C394" s="6">
        <v>521</v>
      </c>
      <c r="D394" s="6"/>
      <c r="E394" s="6" t="s">
        <v>519</v>
      </c>
    </row>
    <row r="395" spans="1:5" ht="13" x14ac:dyDescent="0.25">
      <c r="A395" s="5"/>
      <c r="B395" s="5"/>
      <c r="C395" s="5"/>
      <c r="D395" s="5"/>
      <c r="E395" s="5"/>
    </row>
    <row r="396" spans="1:5" ht="13" x14ac:dyDescent="0.25">
      <c r="A396" s="5"/>
      <c r="B396" s="5"/>
      <c r="C396" s="5"/>
      <c r="D396" s="5">
        <v>5211</v>
      </c>
      <c r="E396" s="5" t="s">
        <v>148</v>
      </c>
    </row>
    <row r="397" spans="1:5" ht="13" x14ac:dyDescent="0.25">
      <c r="A397" s="5"/>
      <c r="B397" s="5"/>
      <c r="C397" s="5"/>
      <c r="D397" s="5">
        <v>5212</v>
      </c>
      <c r="E397" s="5" t="s">
        <v>149</v>
      </c>
    </row>
    <row r="398" spans="1:5" ht="13" x14ac:dyDescent="0.25">
      <c r="A398" s="5"/>
      <c r="B398" s="5"/>
      <c r="C398" s="5"/>
      <c r="D398" s="5">
        <v>5213</v>
      </c>
      <c r="E398" s="5" t="s">
        <v>94</v>
      </c>
    </row>
    <row r="399" spans="1:5" ht="13" x14ac:dyDescent="0.25">
      <c r="A399" s="5"/>
      <c r="B399" s="5"/>
      <c r="C399" s="5"/>
      <c r="D399" s="5">
        <v>5214</v>
      </c>
      <c r="E399" s="5" t="s">
        <v>150</v>
      </c>
    </row>
    <row r="400" spans="1:5" ht="13" x14ac:dyDescent="0.25">
      <c r="A400" s="5"/>
      <c r="B400" s="5"/>
      <c r="C400" s="5"/>
      <c r="D400" s="5">
        <v>5215</v>
      </c>
      <c r="E400" s="5" t="s">
        <v>96</v>
      </c>
    </row>
    <row r="401" spans="1:5" ht="13" x14ac:dyDescent="0.25">
      <c r="A401" s="5"/>
      <c r="B401" s="5"/>
      <c r="C401" s="5"/>
      <c r="D401" s="5">
        <v>5216</v>
      </c>
      <c r="E401" s="5" t="s">
        <v>97</v>
      </c>
    </row>
    <row r="402" spans="1:5" ht="13" x14ac:dyDescent="0.25">
      <c r="A402" s="5"/>
      <c r="B402" s="5"/>
      <c r="C402" s="5"/>
      <c r="D402" s="5"/>
      <c r="E402" s="5"/>
    </row>
    <row r="403" spans="1:5" ht="13" x14ac:dyDescent="0.25">
      <c r="A403" s="6"/>
      <c r="B403" s="6"/>
      <c r="C403" s="6">
        <v>522</v>
      </c>
      <c r="D403" s="6"/>
      <c r="E403" s="6" t="s">
        <v>520</v>
      </c>
    </row>
    <row r="404" spans="1:5" ht="13" x14ac:dyDescent="0.25">
      <c r="A404" s="5"/>
      <c r="B404" s="5"/>
      <c r="C404" s="5"/>
      <c r="D404" s="5"/>
      <c r="E404" s="5"/>
    </row>
    <row r="405" spans="1:5" ht="13" x14ac:dyDescent="0.25">
      <c r="A405" s="5"/>
      <c r="B405" s="5"/>
      <c r="C405" s="5"/>
      <c r="D405" s="5">
        <v>5221</v>
      </c>
      <c r="E405" s="5" t="s">
        <v>98</v>
      </c>
    </row>
    <row r="406" spans="1:5" ht="13" x14ac:dyDescent="0.25">
      <c r="A406" s="5"/>
      <c r="B406" s="5"/>
      <c r="C406" s="5"/>
      <c r="D406" s="5">
        <v>5222</v>
      </c>
      <c r="E406" s="5" t="s">
        <v>99</v>
      </c>
    </row>
    <row r="407" spans="1:5" ht="13" x14ac:dyDescent="0.25">
      <c r="A407" s="5"/>
      <c r="B407" s="5"/>
      <c r="C407" s="5"/>
      <c r="D407" s="5">
        <v>5223</v>
      </c>
      <c r="E407" s="5" t="s">
        <v>100</v>
      </c>
    </row>
    <row r="408" spans="1:5" ht="13" x14ac:dyDescent="0.25">
      <c r="A408" s="5"/>
      <c r="B408" s="5"/>
      <c r="C408" s="5"/>
      <c r="D408" s="5">
        <v>5224</v>
      </c>
      <c r="E408" s="5" t="s">
        <v>101</v>
      </c>
    </row>
    <row r="409" spans="1:5" ht="13" x14ac:dyDescent="0.25">
      <c r="A409" s="5"/>
      <c r="B409" s="5"/>
      <c r="C409" s="5"/>
      <c r="D409" s="5">
        <v>5225</v>
      </c>
      <c r="E409" s="5" t="s">
        <v>151</v>
      </c>
    </row>
    <row r="410" spans="1:5" ht="13" x14ac:dyDescent="0.25">
      <c r="A410" s="5"/>
      <c r="B410" s="5"/>
      <c r="C410" s="5"/>
      <c r="D410" s="5"/>
      <c r="E410" s="5"/>
    </row>
    <row r="411" spans="1:5" ht="13" x14ac:dyDescent="0.25">
      <c r="A411" s="6"/>
      <c r="B411" s="6"/>
      <c r="C411" s="6">
        <v>523</v>
      </c>
      <c r="D411" s="6"/>
      <c r="E411" s="6" t="s">
        <v>521</v>
      </c>
    </row>
    <row r="412" spans="1:5" ht="13" x14ac:dyDescent="0.25">
      <c r="A412" s="5"/>
      <c r="B412" s="5"/>
      <c r="C412" s="5"/>
      <c r="D412" s="5"/>
      <c r="E412" s="5"/>
    </row>
    <row r="413" spans="1:5" ht="13" x14ac:dyDescent="0.25">
      <c r="A413" s="5"/>
      <c r="B413" s="5"/>
      <c r="C413" s="5"/>
      <c r="D413" s="5">
        <v>5231</v>
      </c>
      <c r="E413" s="5" t="s">
        <v>152</v>
      </c>
    </row>
    <row r="414" spans="1:5" ht="13" x14ac:dyDescent="0.25">
      <c r="A414" s="5"/>
      <c r="B414" s="5"/>
      <c r="C414" s="5"/>
      <c r="D414" s="5">
        <v>5232</v>
      </c>
      <c r="E414" s="5" t="s">
        <v>254</v>
      </c>
    </row>
    <row r="415" spans="1:5" ht="13" x14ac:dyDescent="0.25">
      <c r="A415" s="5"/>
      <c r="B415" s="5"/>
      <c r="C415" s="5"/>
      <c r="D415" s="5">
        <v>5234</v>
      </c>
      <c r="E415" s="5" t="s">
        <v>154</v>
      </c>
    </row>
    <row r="416" spans="1:5" ht="13" x14ac:dyDescent="0.25">
      <c r="A416" s="5"/>
      <c r="B416" s="5"/>
      <c r="C416" s="5"/>
      <c r="D416" s="5">
        <v>5235</v>
      </c>
      <c r="E416" s="5" t="s">
        <v>155</v>
      </c>
    </row>
    <row r="417" spans="1:5" ht="13" x14ac:dyDescent="0.25">
      <c r="A417" s="5"/>
      <c r="B417" s="5"/>
      <c r="C417" s="5"/>
      <c r="D417" s="5">
        <v>5236</v>
      </c>
      <c r="E417" s="5" t="s">
        <v>156</v>
      </c>
    </row>
    <row r="418" spans="1:5" ht="13" x14ac:dyDescent="0.25">
      <c r="A418" s="5"/>
      <c r="B418" s="5"/>
      <c r="C418" s="5"/>
      <c r="D418" s="5">
        <v>5237</v>
      </c>
      <c r="E418" s="5" t="s">
        <v>157</v>
      </c>
    </row>
    <row r="419" spans="1:5" ht="13" x14ac:dyDescent="0.25">
      <c r="A419" s="5"/>
      <c r="B419" s="5"/>
      <c r="C419" s="5"/>
      <c r="D419" s="5"/>
      <c r="E419" s="5"/>
    </row>
    <row r="420" spans="1:5" ht="13" x14ac:dyDescent="0.25">
      <c r="A420" s="6"/>
      <c r="B420" s="6"/>
      <c r="C420" s="6">
        <v>524</v>
      </c>
      <c r="D420" s="6"/>
      <c r="E420" s="6" t="s">
        <v>522</v>
      </c>
    </row>
    <row r="421" spans="1:5" ht="13" x14ac:dyDescent="0.25">
      <c r="A421" s="5"/>
      <c r="B421" s="5"/>
      <c r="C421" s="5"/>
      <c r="D421" s="5"/>
      <c r="E421" s="5"/>
    </row>
    <row r="422" spans="1:5" ht="13" x14ac:dyDescent="0.25">
      <c r="A422" s="5"/>
      <c r="B422" s="5"/>
      <c r="C422" s="5"/>
      <c r="D422" s="5">
        <v>5241</v>
      </c>
      <c r="E422" s="5" t="s">
        <v>103</v>
      </c>
    </row>
    <row r="423" spans="1:5" ht="13" x14ac:dyDescent="0.25">
      <c r="A423" s="5"/>
      <c r="B423" s="5"/>
      <c r="C423" s="5"/>
      <c r="D423" s="5">
        <v>5242</v>
      </c>
      <c r="E423" s="5" t="s">
        <v>158</v>
      </c>
    </row>
    <row r="424" spans="1:5" ht="13" x14ac:dyDescent="0.25">
      <c r="A424" s="5"/>
      <c r="B424" s="5"/>
      <c r="C424" s="5"/>
      <c r="D424" s="5">
        <v>5244</v>
      </c>
      <c r="E424" s="5" t="s">
        <v>159</v>
      </c>
    </row>
    <row r="425" spans="1:5" ht="13" x14ac:dyDescent="0.25">
      <c r="A425" s="5"/>
      <c r="B425" s="5"/>
      <c r="C425" s="5"/>
      <c r="D425" s="5">
        <v>5245</v>
      </c>
      <c r="E425" s="5" t="s">
        <v>160</v>
      </c>
    </row>
    <row r="426" spans="1:5" ht="13" x14ac:dyDescent="0.25">
      <c r="A426" s="5"/>
      <c r="B426" s="5"/>
      <c r="C426" s="5"/>
      <c r="D426" s="5">
        <v>5249</v>
      </c>
      <c r="E426" s="5" t="s">
        <v>109</v>
      </c>
    </row>
    <row r="427" spans="1:5" x14ac:dyDescent="0.25">
      <c r="A427" s="20"/>
      <c r="B427" s="20"/>
      <c r="C427" s="20"/>
      <c r="D427" s="20"/>
      <c r="E427" s="20"/>
    </row>
    <row r="428" spans="1:5" x14ac:dyDescent="0.25">
      <c r="A428" s="20"/>
      <c r="B428" s="20"/>
      <c r="C428" s="20"/>
      <c r="D428" s="20"/>
      <c r="E428" s="20"/>
    </row>
    <row r="429" spans="1:5" ht="13" x14ac:dyDescent="0.25">
      <c r="A429" s="6"/>
      <c r="B429" s="6"/>
      <c r="C429" s="6">
        <v>525</v>
      </c>
      <c r="D429" s="6"/>
      <c r="E429" s="6" t="s">
        <v>523</v>
      </c>
    </row>
    <row r="430" spans="1:5" ht="13" x14ac:dyDescent="0.25">
      <c r="A430" s="5"/>
      <c r="B430" s="5"/>
      <c r="C430" s="5"/>
      <c r="D430" s="5"/>
      <c r="E430" s="5"/>
    </row>
    <row r="431" spans="1:5" ht="13" x14ac:dyDescent="0.25">
      <c r="A431" s="5"/>
      <c r="B431" s="5"/>
      <c r="C431" s="5"/>
      <c r="D431" s="5">
        <v>5250</v>
      </c>
      <c r="E431" s="5" t="s">
        <v>110</v>
      </c>
    </row>
    <row r="432" spans="1:5" ht="13" x14ac:dyDescent="0.25">
      <c r="A432" s="6"/>
      <c r="B432" s="6"/>
      <c r="C432" s="6"/>
      <c r="D432" s="6"/>
      <c r="E432" s="6"/>
    </row>
    <row r="433" spans="1:5" ht="13" x14ac:dyDescent="0.25">
      <c r="A433" s="6"/>
      <c r="B433" s="6">
        <v>53</v>
      </c>
      <c r="C433" s="6"/>
      <c r="D433" s="6"/>
      <c r="E433" s="6" t="s">
        <v>524</v>
      </c>
    </row>
    <row r="434" spans="1:5" ht="13" x14ac:dyDescent="0.25">
      <c r="A434" s="5"/>
      <c r="B434" s="5"/>
      <c r="C434" s="5"/>
      <c r="D434" s="5"/>
      <c r="E434" s="5"/>
    </row>
    <row r="435" spans="1:5" ht="13" x14ac:dyDescent="0.25">
      <c r="A435" s="6"/>
      <c r="B435" s="6"/>
      <c r="C435" s="6">
        <v>531</v>
      </c>
      <c r="D435" s="6"/>
      <c r="E435" s="6" t="s">
        <v>525</v>
      </c>
    </row>
    <row r="436" spans="1:5" ht="13" x14ac:dyDescent="0.25">
      <c r="A436" s="5"/>
      <c r="B436" s="5"/>
      <c r="C436" s="5"/>
      <c r="D436" s="5"/>
      <c r="E436" s="5"/>
    </row>
    <row r="437" spans="1:5" ht="13" x14ac:dyDescent="0.25">
      <c r="A437" s="5"/>
      <c r="B437" s="5"/>
      <c r="C437" s="5"/>
      <c r="D437" s="5">
        <v>5311</v>
      </c>
      <c r="E437" s="5" t="s">
        <v>111</v>
      </c>
    </row>
    <row r="438" spans="1:5" ht="13" x14ac:dyDescent="0.25">
      <c r="A438" s="5"/>
      <c r="B438" s="5"/>
      <c r="C438" s="5"/>
      <c r="D438" s="5">
        <v>5312</v>
      </c>
      <c r="E438" s="5" t="s">
        <v>161</v>
      </c>
    </row>
    <row r="439" spans="1:5" ht="13" x14ac:dyDescent="0.25">
      <c r="A439" s="5"/>
      <c r="B439" s="5"/>
      <c r="C439" s="5"/>
      <c r="D439" s="5">
        <v>5313</v>
      </c>
      <c r="E439" s="5" t="s">
        <v>113</v>
      </c>
    </row>
    <row r="440" spans="1:5" ht="13" x14ac:dyDescent="0.25">
      <c r="A440" s="5"/>
      <c r="B440" s="5"/>
      <c r="C440" s="5"/>
      <c r="D440" s="5">
        <v>5314</v>
      </c>
      <c r="E440" s="5" t="s">
        <v>162</v>
      </c>
    </row>
    <row r="441" spans="1:5" ht="13" x14ac:dyDescent="0.25">
      <c r="A441" s="5"/>
      <c r="B441" s="5"/>
      <c r="C441" s="5"/>
      <c r="D441" s="5">
        <v>5315</v>
      </c>
      <c r="E441" s="5" t="s">
        <v>114</v>
      </c>
    </row>
    <row r="442" spans="1:5" ht="13" x14ac:dyDescent="0.25">
      <c r="A442" s="5"/>
      <c r="B442" s="5"/>
      <c r="C442" s="5"/>
      <c r="D442" s="5">
        <v>5316</v>
      </c>
      <c r="E442" s="5" t="s">
        <v>115</v>
      </c>
    </row>
    <row r="443" spans="1:5" ht="13" x14ac:dyDescent="0.25">
      <c r="A443" s="5"/>
      <c r="B443" s="5"/>
      <c r="C443" s="5"/>
      <c r="D443" s="5">
        <v>5319</v>
      </c>
      <c r="E443" s="5" t="s">
        <v>116</v>
      </c>
    </row>
    <row r="444" spans="1:5" ht="13" x14ac:dyDescent="0.25">
      <c r="A444" s="5"/>
      <c r="B444" s="5"/>
      <c r="C444" s="5"/>
      <c r="D444" s="5"/>
      <c r="E444" s="5"/>
    </row>
    <row r="445" spans="1:5" ht="13" x14ac:dyDescent="0.25">
      <c r="A445" s="6"/>
      <c r="B445" s="6"/>
      <c r="C445" s="6">
        <v>532</v>
      </c>
      <c r="D445" s="6"/>
      <c r="E445" s="6" t="s">
        <v>526</v>
      </c>
    </row>
    <row r="446" spans="1:5" ht="13" x14ac:dyDescent="0.25">
      <c r="A446" s="5"/>
      <c r="B446" s="5"/>
      <c r="C446" s="5"/>
      <c r="D446" s="5"/>
      <c r="E446" s="5"/>
    </row>
    <row r="447" spans="1:5" ht="13" x14ac:dyDescent="0.25">
      <c r="A447" s="5"/>
      <c r="B447" s="5"/>
      <c r="C447" s="5"/>
      <c r="D447" s="5">
        <v>5321</v>
      </c>
      <c r="E447" s="5" t="s">
        <v>163</v>
      </c>
    </row>
    <row r="448" spans="1:5" ht="13" x14ac:dyDescent="0.25">
      <c r="A448" s="5"/>
      <c r="B448" s="5"/>
      <c r="C448" s="5"/>
      <c r="D448" s="5">
        <v>5322</v>
      </c>
      <c r="E448" s="5" t="s">
        <v>164</v>
      </c>
    </row>
    <row r="449" spans="1:5" ht="13" x14ac:dyDescent="0.25">
      <c r="A449" s="5"/>
      <c r="B449" s="5"/>
      <c r="C449" s="5"/>
      <c r="D449" s="5">
        <v>5323</v>
      </c>
      <c r="E449" s="5" t="s">
        <v>165</v>
      </c>
    </row>
    <row r="450" spans="1:5" ht="13" x14ac:dyDescent="0.25">
      <c r="A450" s="5"/>
      <c r="B450" s="5"/>
      <c r="C450" s="5"/>
      <c r="D450" s="5"/>
      <c r="E450" s="5"/>
    </row>
    <row r="451" spans="1:5" ht="13" x14ac:dyDescent="0.25">
      <c r="A451" s="6"/>
      <c r="B451" s="6"/>
      <c r="C451" s="6">
        <v>533</v>
      </c>
      <c r="D451" s="6"/>
      <c r="E451" s="6" t="s">
        <v>527</v>
      </c>
    </row>
    <row r="452" spans="1:5" ht="13" x14ac:dyDescent="0.25">
      <c r="A452" s="5"/>
      <c r="B452" s="5"/>
      <c r="C452" s="5"/>
      <c r="D452" s="5"/>
      <c r="E452" s="5"/>
    </row>
    <row r="453" spans="1:5" ht="13" x14ac:dyDescent="0.25">
      <c r="A453" s="5"/>
      <c r="B453" s="5"/>
      <c r="C453" s="5"/>
      <c r="D453" s="5">
        <v>5330</v>
      </c>
      <c r="E453" s="5" t="s">
        <v>117</v>
      </c>
    </row>
    <row r="454" spans="1:5" ht="13" x14ac:dyDescent="0.25">
      <c r="A454" s="5"/>
      <c r="B454" s="5"/>
      <c r="C454" s="5"/>
      <c r="D454" s="5"/>
      <c r="E454" s="5"/>
    </row>
    <row r="455" spans="1:5" ht="13" x14ac:dyDescent="0.25">
      <c r="A455" s="6"/>
      <c r="B455" s="6">
        <v>54</v>
      </c>
      <c r="C455" s="6"/>
      <c r="D455" s="6"/>
      <c r="E455" s="6" t="s">
        <v>528</v>
      </c>
    </row>
    <row r="456" spans="1:5" ht="13" x14ac:dyDescent="0.25">
      <c r="A456" s="5"/>
      <c r="B456" s="5"/>
      <c r="C456" s="5"/>
      <c r="D456" s="5"/>
      <c r="E456" s="5"/>
    </row>
    <row r="457" spans="1:5" ht="13" x14ac:dyDescent="0.25">
      <c r="A457" s="6"/>
      <c r="B457" s="6"/>
      <c r="C457" s="6">
        <v>541</v>
      </c>
      <c r="D457" s="6"/>
      <c r="E457" s="6" t="s">
        <v>529</v>
      </c>
    </row>
    <row r="458" spans="1:5" ht="13" x14ac:dyDescent="0.25">
      <c r="A458" s="5"/>
      <c r="B458" s="5"/>
      <c r="C458" s="5"/>
      <c r="D458" s="5"/>
      <c r="E458" s="5"/>
    </row>
    <row r="459" spans="1:5" ht="13" x14ac:dyDescent="0.25">
      <c r="A459" s="5"/>
      <c r="B459" s="5"/>
      <c r="C459" s="5"/>
      <c r="D459" s="5">
        <v>5411</v>
      </c>
      <c r="E459" s="5" t="s">
        <v>166</v>
      </c>
    </row>
    <row r="460" spans="1:5" ht="13" x14ac:dyDescent="0.25">
      <c r="A460" s="5"/>
      <c r="B460" s="5"/>
      <c r="C460" s="5"/>
      <c r="D460" s="5">
        <v>5412</v>
      </c>
      <c r="E460" s="5" t="s">
        <v>167</v>
      </c>
    </row>
    <row r="461" spans="1:5" ht="13" x14ac:dyDescent="0.25">
      <c r="A461" s="5"/>
      <c r="B461" s="5"/>
      <c r="C461" s="5"/>
      <c r="D461" s="5">
        <v>5413</v>
      </c>
      <c r="E461" s="5" t="s">
        <v>168</v>
      </c>
    </row>
    <row r="462" spans="1:5" ht="13" x14ac:dyDescent="0.25">
      <c r="A462" s="5"/>
      <c r="B462" s="5"/>
      <c r="C462" s="5"/>
      <c r="D462" s="5">
        <v>5414</v>
      </c>
      <c r="E462" s="5" t="s">
        <v>169</v>
      </c>
    </row>
    <row r="463" spans="1:5" ht="13" x14ac:dyDescent="0.25">
      <c r="A463" s="5"/>
      <c r="B463" s="5"/>
      <c r="C463" s="5"/>
      <c r="D463" s="5">
        <v>5419</v>
      </c>
      <c r="E463" s="5" t="s">
        <v>170</v>
      </c>
    </row>
    <row r="464" spans="1:5" ht="13" x14ac:dyDescent="0.25">
      <c r="A464" s="5"/>
      <c r="B464" s="5"/>
      <c r="C464" s="5"/>
      <c r="D464" s="5"/>
      <c r="E464" s="5"/>
    </row>
    <row r="465" spans="1:5" ht="13" x14ac:dyDescent="0.25">
      <c r="A465" s="6"/>
      <c r="B465" s="6"/>
      <c r="C465" s="6">
        <v>542</v>
      </c>
      <c r="D465" s="6"/>
      <c r="E465" s="6" t="s">
        <v>530</v>
      </c>
    </row>
    <row r="466" spans="1:5" ht="13" x14ac:dyDescent="0.25">
      <c r="A466" s="5"/>
      <c r="B466" s="5"/>
      <c r="C466" s="5"/>
      <c r="D466" s="5"/>
      <c r="E466" s="5"/>
    </row>
    <row r="467" spans="1:5" ht="13" x14ac:dyDescent="0.25">
      <c r="A467" s="5"/>
      <c r="B467" s="5"/>
      <c r="C467" s="5"/>
      <c r="D467" s="5">
        <v>5421</v>
      </c>
      <c r="E467" s="5" t="s">
        <v>171</v>
      </c>
    </row>
    <row r="468" spans="1:5" ht="13" x14ac:dyDescent="0.25">
      <c r="A468" s="5"/>
      <c r="B468" s="5"/>
      <c r="C468" s="5"/>
      <c r="D468" s="5">
        <v>5422</v>
      </c>
      <c r="E468" s="5" t="s">
        <v>172</v>
      </c>
    </row>
    <row r="469" spans="1:5" ht="13" x14ac:dyDescent="0.25">
      <c r="A469" s="5"/>
      <c r="B469" s="5"/>
      <c r="C469" s="5"/>
      <c r="D469" s="5">
        <v>5423</v>
      </c>
      <c r="E469" s="5" t="s">
        <v>173</v>
      </c>
    </row>
    <row r="470" spans="1:5" ht="13" x14ac:dyDescent="0.25">
      <c r="A470" s="5"/>
      <c r="B470" s="5"/>
      <c r="C470" s="5"/>
      <c r="D470" s="5"/>
      <c r="E470" s="5"/>
    </row>
    <row r="471" spans="1:5" ht="13" x14ac:dyDescent="0.25">
      <c r="A471" s="6"/>
      <c r="B471" s="6"/>
      <c r="C471" s="6">
        <v>543</v>
      </c>
      <c r="D471" s="6"/>
      <c r="E471" s="6" t="s">
        <v>531</v>
      </c>
    </row>
    <row r="472" spans="1:5" ht="13" x14ac:dyDescent="0.25">
      <c r="A472" s="5"/>
      <c r="B472" s="5"/>
      <c r="C472" s="5"/>
      <c r="D472" s="5"/>
      <c r="E472" s="5"/>
    </row>
    <row r="473" spans="1:5" ht="13" x14ac:dyDescent="0.25">
      <c r="A473" s="5"/>
      <c r="B473" s="5"/>
      <c r="C473" s="5"/>
      <c r="D473" s="5">
        <v>5431</v>
      </c>
      <c r="E473" s="5" t="s">
        <v>174</v>
      </c>
    </row>
    <row r="474" spans="1:5" ht="13" x14ac:dyDescent="0.25">
      <c r="A474" s="5"/>
      <c r="B474" s="5"/>
      <c r="C474" s="5"/>
      <c r="D474" s="5">
        <v>5432</v>
      </c>
      <c r="E474" s="5" t="s">
        <v>175</v>
      </c>
    </row>
    <row r="475" spans="1:5" ht="13" x14ac:dyDescent="0.25">
      <c r="A475" s="5"/>
      <c r="B475" s="5"/>
      <c r="C475" s="5"/>
      <c r="D475" s="5">
        <v>5433</v>
      </c>
      <c r="E475" s="5" t="s">
        <v>176</v>
      </c>
    </row>
    <row r="476" spans="1:5" ht="13" x14ac:dyDescent="0.25">
      <c r="A476" s="5"/>
      <c r="B476" s="5"/>
      <c r="C476" s="5"/>
      <c r="D476" s="5">
        <v>5434</v>
      </c>
      <c r="E476" s="5" t="s">
        <v>532</v>
      </c>
    </row>
    <row r="477" spans="1:5" ht="13" x14ac:dyDescent="0.25">
      <c r="A477" s="5"/>
      <c r="B477" s="5"/>
      <c r="C477" s="5"/>
      <c r="D477" s="5">
        <v>5435</v>
      </c>
      <c r="E477" s="5" t="s">
        <v>533</v>
      </c>
    </row>
    <row r="478" spans="1:5" ht="13" x14ac:dyDescent="0.25">
      <c r="A478" s="5"/>
      <c r="B478" s="5"/>
      <c r="C478" s="5"/>
      <c r="D478" s="5">
        <v>5436</v>
      </c>
      <c r="E478" s="5" t="s">
        <v>534</v>
      </c>
    </row>
    <row r="479" spans="1:5" ht="13" x14ac:dyDescent="0.25">
      <c r="A479" s="5"/>
      <c r="B479" s="5"/>
      <c r="C479" s="5"/>
      <c r="D479" s="5"/>
      <c r="E479" s="5"/>
    </row>
    <row r="480" spans="1:5" ht="13" x14ac:dyDescent="0.25">
      <c r="A480" s="6"/>
      <c r="B480" s="6"/>
      <c r="C480" s="6">
        <v>544</v>
      </c>
      <c r="D480" s="6"/>
      <c r="E480" s="6" t="s">
        <v>535</v>
      </c>
    </row>
    <row r="481" spans="1:5" ht="13" x14ac:dyDescent="0.25">
      <c r="A481" s="5"/>
      <c r="B481" s="5"/>
      <c r="C481" s="5"/>
      <c r="D481" s="5"/>
      <c r="E481" s="5"/>
    </row>
    <row r="482" spans="1:5" ht="13" x14ac:dyDescent="0.25">
      <c r="A482" s="5"/>
      <c r="B482" s="5"/>
      <c r="C482" s="5"/>
      <c r="D482" s="5">
        <v>5441</v>
      </c>
      <c r="E482" s="5" t="s">
        <v>177</v>
      </c>
    </row>
    <row r="483" spans="1:5" ht="13" x14ac:dyDescent="0.25">
      <c r="A483" s="5"/>
      <c r="B483" s="5"/>
      <c r="C483" s="5"/>
      <c r="D483" s="5">
        <v>5442</v>
      </c>
      <c r="E483" s="5" t="s">
        <v>178</v>
      </c>
    </row>
    <row r="484" spans="1:5" ht="13" x14ac:dyDescent="0.25">
      <c r="A484" s="5"/>
      <c r="B484" s="5"/>
      <c r="C484" s="5"/>
      <c r="D484" s="5">
        <v>5443</v>
      </c>
      <c r="E484" s="5" t="s">
        <v>536</v>
      </c>
    </row>
    <row r="485" spans="1:5" ht="13" x14ac:dyDescent="0.25">
      <c r="A485" s="5"/>
      <c r="B485" s="5"/>
      <c r="C485" s="5"/>
      <c r="D485" s="5">
        <v>5449</v>
      </c>
      <c r="E485" s="5" t="s">
        <v>253</v>
      </c>
    </row>
    <row r="486" spans="1:5" ht="13" x14ac:dyDescent="0.25">
      <c r="A486" s="5"/>
      <c r="B486" s="5"/>
      <c r="C486" s="5"/>
      <c r="D486" s="5"/>
      <c r="E486" s="5"/>
    </row>
    <row r="487" spans="1:5" ht="14" x14ac:dyDescent="0.25">
      <c r="A487" s="3">
        <v>6</v>
      </c>
      <c r="B487" s="3"/>
      <c r="C487" s="3"/>
      <c r="D487" s="3"/>
      <c r="E487" s="3" t="s">
        <v>537</v>
      </c>
    </row>
    <row r="488" spans="1:5" x14ac:dyDescent="0.25">
      <c r="A488" s="9"/>
      <c r="B488" s="9"/>
      <c r="C488" s="9"/>
      <c r="D488" s="9"/>
      <c r="E488" s="9"/>
    </row>
    <row r="489" spans="1:5" ht="13" x14ac:dyDescent="0.25">
      <c r="A489" s="6"/>
      <c r="B489" s="6">
        <v>61</v>
      </c>
      <c r="C489" s="6"/>
      <c r="D489" s="6"/>
      <c r="E489" s="6" t="s">
        <v>538</v>
      </c>
    </row>
    <row r="490" spans="1:5" x14ac:dyDescent="0.25">
      <c r="A490" s="9"/>
      <c r="B490" s="9"/>
      <c r="C490" s="9"/>
      <c r="D490" s="9"/>
      <c r="E490" s="9"/>
    </row>
    <row r="491" spans="1:5" ht="13" x14ac:dyDescent="0.25">
      <c r="A491" s="6"/>
      <c r="B491" s="6"/>
      <c r="C491" s="6">
        <v>612</v>
      </c>
      <c r="D491" s="6"/>
      <c r="E491" s="6" t="s">
        <v>673</v>
      </c>
    </row>
    <row r="492" spans="1:5" x14ac:dyDescent="0.25">
      <c r="A492" s="9"/>
      <c r="B492" s="9"/>
      <c r="C492" s="9"/>
      <c r="D492" s="9"/>
      <c r="E492" s="9"/>
    </row>
    <row r="493" spans="1:5" ht="13" x14ac:dyDescent="0.25">
      <c r="A493" s="5"/>
      <c r="B493" s="5"/>
      <c r="C493" s="5"/>
      <c r="D493" s="5">
        <v>6121</v>
      </c>
      <c r="E493" s="5" t="s">
        <v>674</v>
      </c>
    </row>
    <row r="494" spans="1:5" ht="13" x14ac:dyDescent="0.25">
      <c r="A494" s="5"/>
      <c r="B494" s="5"/>
      <c r="C494" s="5"/>
      <c r="D494" s="5">
        <v>6122</v>
      </c>
      <c r="E494" s="5" t="s">
        <v>675</v>
      </c>
    </row>
    <row r="495" spans="1:5" ht="13" x14ac:dyDescent="0.25">
      <c r="A495" s="5"/>
      <c r="B495" s="5"/>
      <c r="C495" s="5"/>
      <c r="D495" s="5">
        <v>6123</v>
      </c>
      <c r="E495" s="5" t="s">
        <v>545</v>
      </c>
    </row>
    <row r="496" spans="1:5" ht="13" x14ac:dyDescent="0.25">
      <c r="A496" s="5"/>
      <c r="B496" s="5"/>
      <c r="C496" s="5"/>
      <c r="D496" s="5">
        <v>6125</v>
      </c>
      <c r="E496" s="5" t="s">
        <v>541</v>
      </c>
    </row>
    <row r="497" spans="1:5" ht="13" x14ac:dyDescent="0.25">
      <c r="A497" s="5"/>
      <c r="B497" s="5"/>
      <c r="C497" s="5"/>
      <c r="D497" s="5">
        <v>6126</v>
      </c>
      <c r="E497" s="5" t="s">
        <v>542</v>
      </c>
    </row>
    <row r="498" spans="1:5" x14ac:dyDescent="0.25">
      <c r="A498" s="9"/>
      <c r="B498" s="9"/>
      <c r="C498" s="9"/>
      <c r="D498" s="9"/>
      <c r="E498" s="9"/>
    </row>
    <row r="499" spans="1:5" ht="13" x14ac:dyDescent="0.25">
      <c r="A499" s="6"/>
      <c r="B499" s="6"/>
      <c r="C499" s="6">
        <v>613</v>
      </c>
      <c r="D499" s="6"/>
      <c r="E499" s="6" t="s">
        <v>546</v>
      </c>
    </row>
    <row r="500" spans="1:5" x14ac:dyDescent="0.25">
      <c r="A500" s="9"/>
      <c r="B500" s="9"/>
      <c r="C500" s="9"/>
      <c r="D500" s="9"/>
      <c r="E500" s="9"/>
    </row>
    <row r="501" spans="1:5" ht="13" x14ac:dyDescent="0.25">
      <c r="A501" s="5"/>
      <c r="B501" s="5"/>
      <c r="C501" s="5"/>
      <c r="D501" s="5">
        <v>6131</v>
      </c>
      <c r="E501" s="5" t="s">
        <v>304</v>
      </c>
    </row>
    <row r="502" spans="1:5" ht="13" x14ac:dyDescent="0.25">
      <c r="A502" s="5"/>
      <c r="B502" s="5"/>
      <c r="C502" s="5"/>
      <c r="D502" s="5">
        <v>6132</v>
      </c>
      <c r="E502" s="5" t="s">
        <v>317</v>
      </c>
    </row>
    <row r="503" spans="1:5" ht="13" x14ac:dyDescent="0.25">
      <c r="A503" s="5"/>
      <c r="B503" s="5"/>
      <c r="C503" s="5"/>
      <c r="D503" s="5">
        <v>6139</v>
      </c>
      <c r="E503" s="5" t="s">
        <v>318</v>
      </c>
    </row>
    <row r="504" spans="1:5" x14ac:dyDescent="0.25">
      <c r="A504" s="9"/>
      <c r="B504" s="9"/>
      <c r="C504" s="9"/>
      <c r="D504" s="9"/>
      <c r="E504" s="9"/>
    </row>
    <row r="505" spans="1:5" ht="13" x14ac:dyDescent="0.25">
      <c r="A505" s="10"/>
      <c r="B505" s="10"/>
      <c r="C505" s="10">
        <v>614</v>
      </c>
      <c r="D505" s="10"/>
      <c r="E505" s="6" t="s">
        <v>547</v>
      </c>
    </row>
    <row r="506" spans="1:5" x14ac:dyDescent="0.25">
      <c r="A506" s="9"/>
      <c r="B506" s="9"/>
      <c r="C506" s="9"/>
      <c r="D506" s="9"/>
      <c r="E506" s="9"/>
    </row>
    <row r="507" spans="1:5" ht="13" x14ac:dyDescent="0.25">
      <c r="A507" s="5"/>
      <c r="B507" s="5"/>
      <c r="C507" s="5"/>
      <c r="D507" s="5">
        <v>6141</v>
      </c>
      <c r="E507" s="5" t="s">
        <v>179</v>
      </c>
    </row>
    <row r="508" spans="1:5" ht="13" x14ac:dyDescent="0.25">
      <c r="A508" s="5"/>
      <c r="B508" s="5"/>
      <c r="C508" s="5"/>
      <c r="D508" s="5">
        <v>6142</v>
      </c>
      <c r="E508" s="5" t="s">
        <v>180</v>
      </c>
    </row>
    <row r="509" spans="1:5" ht="13" x14ac:dyDescent="0.25">
      <c r="A509" s="5"/>
      <c r="B509" s="5"/>
      <c r="C509" s="5"/>
      <c r="D509" s="5">
        <v>6143</v>
      </c>
      <c r="E509" s="5" t="s">
        <v>181</v>
      </c>
    </row>
    <row r="510" spans="1:5" ht="13" x14ac:dyDescent="0.25">
      <c r="A510" s="5"/>
      <c r="B510" s="5"/>
      <c r="C510" s="5"/>
      <c r="D510" s="5">
        <v>6144</v>
      </c>
      <c r="E510" s="5" t="s">
        <v>182</v>
      </c>
    </row>
    <row r="511" spans="1:5" ht="13" x14ac:dyDescent="0.25">
      <c r="A511" s="5"/>
      <c r="B511" s="5"/>
      <c r="C511" s="5"/>
      <c r="D511" s="5">
        <v>6145</v>
      </c>
      <c r="E511" s="5" t="s">
        <v>183</v>
      </c>
    </row>
    <row r="512" spans="1:5" ht="13" x14ac:dyDescent="0.25">
      <c r="A512" s="5"/>
      <c r="B512" s="5"/>
      <c r="C512" s="5"/>
      <c r="D512" s="5">
        <v>6146</v>
      </c>
      <c r="E512" s="5" t="s">
        <v>184</v>
      </c>
    </row>
    <row r="513" spans="1:5" ht="13" x14ac:dyDescent="0.25">
      <c r="A513" s="5"/>
      <c r="B513" s="5"/>
      <c r="C513" s="5"/>
      <c r="D513" s="5">
        <v>6147</v>
      </c>
      <c r="E513" s="5" t="s">
        <v>185</v>
      </c>
    </row>
    <row r="514" spans="1:5" ht="13" x14ac:dyDescent="0.25">
      <c r="A514" s="5"/>
      <c r="B514" s="5"/>
      <c r="C514" s="5"/>
      <c r="D514" s="5">
        <v>6148</v>
      </c>
      <c r="E514" s="5" t="s">
        <v>548</v>
      </c>
    </row>
    <row r="515" spans="1:5" x14ac:dyDescent="0.25">
      <c r="A515" s="9"/>
      <c r="B515" s="9"/>
      <c r="C515" s="9"/>
      <c r="D515" s="9"/>
      <c r="E515" s="9"/>
    </row>
    <row r="516" spans="1:5" ht="26" x14ac:dyDescent="0.25">
      <c r="A516" s="6"/>
      <c r="B516" s="6">
        <v>62</v>
      </c>
      <c r="C516" s="6"/>
      <c r="D516" s="6"/>
      <c r="E516" s="6" t="s">
        <v>549</v>
      </c>
    </row>
    <row r="517" spans="1:5" x14ac:dyDescent="0.25">
      <c r="A517" s="9"/>
      <c r="B517" s="9"/>
      <c r="C517" s="9"/>
      <c r="D517" s="9"/>
      <c r="E517" s="9"/>
    </row>
    <row r="518" spans="1:5" ht="13" x14ac:dyDescent="0.25">
      <c r="A518" s="6"/>
      <c r="B518" s="6"/>
      <c r="C518" s="6">
        <v>621</v>
      </c>
      <c r="D518" s="6"/>
      <c r="E518" s="6" t="s">
        <v>550</v>
      </c>
    </row>
    <row r="519" spans="1:5" x14ac:dyDescent="0.25">
      <c r="A519" s="9"/>
      <c r="B519" s="9"/>
      <c r="C519" s="9"/>
      <c r="D519" s="9"/>
      <c r="E519" s="9"/>
    </row>
    <row r="520" spans="1:5" ht="13" x14ac:dyDescent="0.25">
      <c r="A520" s="5"/>
      <c r="B520" s="5"/>
      <c r="C520" s="5"/>
      <c r="D520" s="5">
        <v>6211</v>
      </c>
      <c r="E520" s="5" t="s">
        <v>551</v>
      </c>
    </row>
    <row r="521" spans="1:5" ht="13" x14ac:dyDescent="0.25">
      <c r="A521" s="5"/>
      <c r="B521" s="5"/>
      <c r="C521" s="5"/>
      <c r="D521" s="5">
        <v>6212</v>
      </c>
      <c r="E521" s="5" t="s">
        <v>552</v>
      </c>
    </row>
    <row r="522" spans="1:5" ht="13" x14ac:dyDescent="0.25">
      <c r="A522" s="5"/>
      <c r="B522" s="5"/>
      <c r="C522" s="5"/>
      <c r="D522" s="5">
        <v>6214</v>
      </c>
      <c r="E522" s="5" t="s">
        <v>186</v>
      </c>
    </row>
    <row r="523" spans="1:5" ht="13" x14ac:dyDescent="0.25">
      <c r="A523" s="5"/>
      <c r="B523" s="5"/>
      <c r="C523" s="5"/>
      <c r="D523" s="5">
        <v>6215</v>
      </c>
      <c r="E523" s="5" t="s">
        <v>187</v>
      </c>
    </row>
    <row r="524" spans="1:5" ht="13" x14ac:dyDescent="0.25">
      <c r="A524" s="5"/>
      <c r="B524" s="5"/>
      <c r="C524" s="5"/>
      <c r="D524" s="5">
        <v>6219</v>
      </c>
      <c r="E524" s="5" t="s">
        <v>553</v>
      </c>
    </row>
    <row r="525" spans="1:5" x14ac:dyDescent="0.25">
      <c r="A525" s="9"/>
      <c r="B525" s="9"/>
      <c r="C525" s="9"/>
      <c r="D525" s="9"/>
      <c r="E525" s="9"/>
    </row>
    <row r="526" spans="1:5" ht="13" x14ac:dyDescent="0.25">
      <c r="A526" s="6"/>
      <c r="B526" s="6"/>
      <c r="C526" s="6">
        <v>622</v>
      </c>
      <c r="D526" s="6"/>
      <c r="E526" s="6" t="s">
        <v>554</v>
      </c>
    </row>
    <row r="527" spans="1:5" x14ac:dyDescent="0.25">
      <c r="A527" s="9"/>
      <c r="B527" s="9"/>
      <c r="C527" s="9"/>
      <c r="D527" s="9"/>
      <c r="E527" s="9"/>
    </row>
    <row r="528" spans="1:5" ht="13" x14ac:dyDescent="0.25">
      <c r="A528" s="5"/>
      <c r="B528" s="5"/>
      <c r="C528" s="5"/>
      <c r="D528" s="5">
        <v>6221</v>
      </c>
      <c r="E528" s="5" t="s">
        <v>555</v>
      </c>
    </row>
    <row r="529" spans="1:5" ht="13" x14ac:dyDescent="0.25">
      <c r="A529" s="5"/>
      <c r="B529" s="5"/>
      <c r="C529" s="5"/>
      <c r="D529" s="5">
        <v>6222</v>
      </c>
      <c r="E529" s="5" t="s">
        <v>556</v>
      </c>
    </row>
    <row r="530" spans="1:5" x14ac:dyDescent="0.25">
      <c r="A530" s="9"/>
      <c r="B530" s="9"/>
      <c r="C530" s="9"/>
      <c r="D530" s="9"/>
      <c r="E530" s="9"/>
    </row>
    <row r="531" spans="1:5" ht="13" x14ac:dyDescent="0.25">
      <c r="A531" s="6"/>
      <c r="B531" s="6"/>
      <c r="C531" s="6">
        <v>623</v>
      </c>
      <c r="D531" s="6"/>
      <c r="E531" s="6" t="s">
        <v>557</v>
      </c>
    </row>
    <row r="532" spans="1:5" x14ac:dyDescent="0.25">
      <c r="A532" s="9"/>
      <c r="B532" s="9"/>
      <c r="C532" s="9"/>
      <c r="D532" s="9"/>
      <c r="E532" s="9"/>
    </row>
    <row r="533" spans="1:5" ht="13" x14ac:dyDescent="0.25">
      <c r="A533" s="5"/>
      <c r="B533" s="5"/>
      <c r="C533" s="5"/>
      <c r="D533" s="5">
        <v>6231</v>
      </c>
      <c r="E533" s="5" t="s">
        <v>558</v>
      </c>
    </row>
    <row r="534" spans="1:5" ht="13" x14ac:dyDescent="0.25">
      <c r="A534" s="5"/>
      <c r="B534" s="5"/>
      <c r="C534" s="5"/>
      <c r="D534" s="5">
        <v>6232</v>
      </c>
      <c r="E534" s="5" t="s">
        <v>559</v>
      </c>
    </row>
    <row r="535" spans="1:5" x14ac:dyDescent="0.25">
      <c r="A535" s="9"/>
      <c r="B535" s="9"/>
      <c r="C535" s="9"/>
      <c r="D535" s="9"/>
      <c r="E535" s="9"/>
    </row>
    <row r="536" spans="1:5" ht="13" x14ac:dyDescent="0.25">
      <c r="A536" s="6"/>
      <c r="B536" s="6"/>
      <c r="C536" s="6">
        <v>624</v>
      </c>
      <c r="D536" s="6"/>
      <c r="E536" s="6" t="s">
        <v>560</v>
      </c>
    </row>
    <row r="537" spans="1:5" x14ac:dyDescent="0.25">
      <c r="A537" s="9"/>
      <c r="B537" s="9"/>
      <c r="C537" s="9"/>
      <c r="D537" s="9"/>
      <c r="E537" s="9"/>
    </row>
    <row r="538" spans="1:5" ht="13" x14ac:dyDescent="0.25">
      <c r="A538" s="5"/>
      <c r="B538" s="5"/>
      <c r="C538" s="5"/>
      <c r="D538" s="5">
        <v>6240</v>
      </c>
      <c r="E538" s="5" t="s">
        <v>259</v>
      </c>
    </row>
    <row r="539" spans="1:5" ht="13" x14ac:dyDescent="0.25">
      <c r="A539" s="5"/>
      <c r="B539" s="5"/>
      <c r="C539" s="5"/>
      <c r="D539" s="5"/>
      <c r="E539" s="5"/>
    </row>
    <row r="540" spans="1:5" ht="14" x14ac:dyDescent="0.25">
      <c r="A540" s="3">
        <v>7</v>
      </c>
      <c r="B540" s="3"/>
      <c r="C540" s="3"/>
      <c r="D540" s="3"/>
      <c r="E540" s="3" t="s">
        <v>567</v>
      </c>
    </row>
    <row r="541" spans="1:5" ht="13" x14ac:dyDescent="0.25">
      <c r="A541" s="5"/>
      <c r="B541" s="5"/>
      <c r="C541" s="5"/>
      <c r="D541" s="5"/>
      <c r="E541" s="5"/>
    </row>
    <row r="542" spans="1:5" ht="13" x14ac:dyDescent="0.25">
      <c r="A542" s="6"/>
      <c r="B542" s="6">
        <v>71</v>
      </c>
      <c r="C542" s="6"/>
      <c r="D542" s="6"/>
      <c r="E542" s="6" t="s">
        <v>568</v>
      </c>
    </row>
    <row r="543" spans="1:5" ht="13" x14ac:dyDescent="0.25">
      <c r="A543" s="5"/>
      <c r="B543" s="5"/>
      <c r="C543" s="5"/>
      <c r="D543" s="5"/>
      <c r="E543" s="5"/>
    </row>
    <row r="544" spans="1:5" ht="13" x14ac:dyDescent="0.25">
      <c r="A544" s="6"/>
      <c r="B544" s="6"/>
      <c r="C544" s="6">
        <v>711</v>
      </c>
      <c r="D544" s="6"/>
      <c r="E544" s="6" t="s">
        <v>569</v>
      </c>
    </row>
    <row r="545" spans="1:5" ht="13" x14ac:dyDescent="0.25">
      <c r="A545" s="5"/>
      <c r="B545" s="5"/>
      <c r="C545" s="5"/>
      <c r="D545" s="5"/>
      <c r="E545" s="5"/>
    </row>
    <row r="546" spans="1:5" ht="13" x14ac:dyDescent="0.25">
      <c r="A546" s="5"/>
      <c r="B546" s="5"/>
      <c r="C546" s="5"/>
      <c r="D546" s="5">
        <v>7111</v>
      </c>
      <c r="E546" s="5" t="s">
        <v>262</v>
      </c>
    </row>
    <row r="547" spans="1:5" ht="13" x14ac:dyDescent="0.25">
      <c r="A547" s="5"/>
      <c r="B547" s="5"/>
      <c r="C547" s="5"/>
      <c r="D547" s="5">
        <v>7112</v>
      </c>
      <c r="E547" s="5" t="s">
        <v>570</v>
      </c>
    </row>
    <row r="548" spans="1:5" ht="13" x14ac:dyDescent="0.25">
      <c r="A548" s="5"/>
      <c r="B548" s="5"/>
      <c r="C548" s="5"/>
      <c r="D548" s="5">
        <v>7113</v>
      </c>
      <c r="E548" s="5" t="s">
        <v>571</v>
      </c>
    </row>
    <row r="549" spans="1:5" ht="13" x14ac:dyDescent="0.25">
      <c r="A549" s="5"/>
      <c r="B549" s="5"/>
      <c r="C549" s="5"/>
      <c r="D549" s="5">
        <v>7114</v>
      </c>
      <c r="E549" s="5" t="s">
        <v>188</v>
      </c>
    </row>
    <row r="550" spans="1:5" ht="13" x14ac:dyDescent="0.25">
      <c r="A550" s="5"/>
      <c r="B550" s="5"/>
      <c r="C550" s="5"/>
      <c r="D550" s="5">
        <v>7115</v>
      </c>
      <c r="E550" s="5" t="s">
        <v>189</v>
      </c>
    </row>
    <row r="551" spans="1:5" ht="13" x14ac:dyDescent="0.25">
      <c r="A551" s="5"/>
      <c r="B551" s="5"/>
      <c r="C551" s="5"/>
      <c r="D551" s="5"/>
      <c r="E551" s="5"/>
    </row>
    <row r="552" spans="1:5" ht="13" x14ac:dyDescent="0.25">
      <c r="A552" s="6"/>
      <c r="B552" s="6"/>
      <c r="C552" s="6">
        <v>712</v>
      </c>
      <c r="D552" s="6"/>
      <c r="E552" s="6" t="s">
        <v>572</v>
      </c>
    </row>
    <row r="553" spans="1:5" ht="13" x14ac:dyDescent="0.25">
      <c r="A553" s="5"/>
      <c r="B553" s="5"/>
      <c r="C553" s="5"/>
      <c r="D553" s="5"/>
      <c r="E553" s="5"/>
    </row>
    <row r="554" spans="1:5" ht="13" x14ac:dyDescent="0.25">
      <c r="A554" s="5"/>
      <c r="B554" s="5"/>
      <c r="C554" s="5"/>
      <c r="D554" s="5">
        <v>7121</v>
      </c>
      <c r="E554" s="5" t="s">
        <v>573</v>
      </c>
    </row>
    <row r="555" spans="1:5" ht="13" x14ac:dyDescent="0.25">
      <c r="A555" s="5"/>
      <c r="B555" s="5"/>
      <c r="C555" s="5"/>
      <c r="D555" s="5">
        <v>7122</v>
      </c>
      <c r="E555" s="5" t="s">
        <v>574</v>
      </c>
    </row>
    <row r="556" spans="1:5" ht="13" x14ac:dyDescent="0.25">
      <c r="A556" s="5"/>
      <c r="B556" s="5"/>
      <c r="C556" s="5"/>
      <c r="D556" s="5">
        <v>7123</v>
      </c>
      <c r="E556" s="5" t="s">
        <v>575</v>
      </c>
    </row>
    <row r="557" spans="1:5" ht="13" x14ac:dyDescent="0.25">
      <c r="A557" s="5"/>
      <c r="B557" s="5"/>
      <c r="C557" s="5"/>
      <c r="D557" s="5">
        <v>7124</v>
      </c>
      <c r="E557" s="5" t="s">
        <v>576</v>
      </c>
    </row>
    <row r="558" spans="1:5" ht="13" x14ac:dyDescent="0.25">
      <c r="A558" s="5"/>
      <c r="B558" s="5"/>
      <c r="C558" s="5"/>
      <c r="D558" s="5">
        <v>7125</v>
      </c>
      <c r="E558" s="5" t="s">
        <v>676</v>
      </c>
    </row>
    <row r="559" spans="1:5" ht="13" x14ac:dyDescent="0.25">
      <c r="A559" s="5"/>
      <c r="B559" s="5"/>
      <c r="C559" s="5"/>
      <c r="D559" s="5">
        <v>7129</v>
      </c>
      <c r="E559" s="5" t="s">
        <v>578</v>
      </c>
    </row>
    <row r="560" spans="1:5" ht="13" x14ac:dyDescent="0.25">
      <c r="A560" s="5"/>
      <c r="B560" s="5"/>
      <c r="C560" s="5"/>
      <c r="D560" s="5"/>
      <c r="E560" s="5"/>
    </row>
    <row r="561" spans="1:5" ht="13" x14ac:dyDescent="0.25">
      <c r="A561" s="6"/>
      <c r="B561" s="6"/>
      <c r="C561" s="6">
        <v>713</v>
      </c>
      <c r="D561" s="6"/>
      <c r="E561" s="6" t="s">
        <v>677</v>
      </c>
    </row>
    <row r="562" spans="1:5" ht="13" x14ac:dyDescent="0.25">
      <c r="A562" s="5"/>
      <c r="B562" s="5"/>
      <c r="C562" s="5"/>
      <c r="D562" s="5"/>
      <c r="E562" s="5"/>
    </row>
    <row r="563" spans="1:5" ht="13" x14ac:dyDescent="0.25">
      <c r="A563" s="5"/>
      <c r="B563" s="5"/>
      <c r="C563" s="5"/>
      <c r="D563" s="5">
        <v>7130</v>
      </c>
      <c r="E563" s="5" t="s">
        <v>284</v>
      </c>
    </row>
    <row r="564" spans="1:5" ht="13" x14ac:dyDescent="0.25">
      <c r="A564" s="5"/>
      <c r="B564" s="5"/>
      <c r="C564" s="5"/>
      <c r="D564" s="5"/>
      <c r="E564" s="5"/>
    </row>
    <row r="565" spans="1:5" ht="13" x14ac:dyDescent="0.25">
      <c r="A565" s="6"/>
      <c r="B565" s="6">
        <v>72</v>
      </c>
      <c r="C565" s="6"/>
      <c r="D565" s="6"/>
      <c r="E565" s="6" t="s">
        <v>582</v>
      </c>
    </row>
    <row r="566" spans="1:5" ht="13" x14ac:dyDescent="0.25">
      <c r="A566" s="5"/>
      <c r="B566" s="5"/>
      <c r="C566" s="5"/>
      <c r="D566" s="5"/>
      <c r="E566" s="5"/>
    </row>
    <row r="567" spans="1:5" ht="13" x14ac:dyDescent="0.25">
      <c r="A567" s="6"/>
      <c r="B567" s="6"/>
      <c r="C567" s="6">
        <v>721</v>
      </c>
      <c r="D567" s="6"/>
      <c r="E567" s="6" t="s">
        <v>583</v>
      </c>
    </row>
    <row r="568" spans="1:5" ht="13" x14ac:dyDescent="0.25">
      <c r="A568" s="5"/>
      <c r="B568" s="5"/>
      <c r="C568" s="5"/>
      <c r="D568" s="5"/>
      <c r="E568" s="5"/>
    </row>
    <row r="569" spans="1:5" ht="13" x14ac:dyDescent="0.25">
      <c r="A569" s="5"/>
      <c r="B569" s="5"/>
      <c r="C569" s="5"/>
      <c r="D569" s="5">
        <v>7211</v>
      </c>
      <c r="E569" s="5" t="s">
        <v>584</v>
      </c>
    </row>
    <row r="570" spans="1:5" ht="13" x14ac:dyDescent="0.25">
      <c r="A570" s="5"/>
      <c r="B570" s="5"/>
      <c r="C570" s="5"/>
      <c r="D570" s="5">
        <v>7213</v>
      </c>
      <c r="E570" s="5" t="s">
        <v>585</v>
      </c>
    </row>
    <row r="571" spans="1:5" ht="13" x14ac:dyDescent="0.25">
      <c r="A571" s="5"/>
      <c r="B571" s="5"/>
      <c r="C571" s="5"/>
      <c r="D571" s="5">
        <v>7214</v>
      </c>
      <c r="E571" s="5" t="s">
        <v>586</v>
      </c>
    </row>
    <row r="572" spans="1:5" ht="13" x14ac:dyDescent="0.25">
      <c r="A572" s="5"/>
      <c r="B572" s="5"/>
      <c r="C572" s="5"/>
      <c r="D572" s="5">
        <v>7215</v>
      </c>
      <c r="E572" s="5" t="s">
        <v>587</v>
      </c>
    </row>
    <row r="573" spans="1:5" ht="13" x14ac:dyDescent="0.25">
      <c r="A573" s="5"/>
      <c r="B573" s="5"/>
      <c r="C573" s="5"/>
      <c r="D573" s="5">
        <v>7219</v>
      </c>
      <c r="E573" s="5" t="s">
        <v>261</v>
      </c>
    </row>
    <row r="574" spans="1:5" ht="13" x14ac:dyDescent="0.25">
      <c r="A574" s="5"/>
      <c r="B574" s="5"/>
      <c r="C574" s="5"/>
      <c r="D574" s="5"/>
      <c r="E574" s="5"/>
    </row>
    <row r="575" spans="1:5" ht="13" x14ac:dyDescent="0.25">
      <c r="A575" s="6"/>
      <c r="B575" s="6"/>
      <c r="C575" s="6">
        <v>722</v>
      </c>
      <c r="D575" s="6"/>
      <c r="E575" s="6" t="s">
        <v>678</v>
      </c>
    </row>
    <row r="576" spans="1:5" ht="13" x14ac:dyDescent="0.25">
      <c r="A576" s="5"/>
      <c r="B576" s="5"/>
      <c r="C576" s="5"/>
      <c r="D576" s="5"/>
      <c r="E576" s="5"/>
    </row>
    <row r="577" spans="1:5" ht="13" x14ac:dyDescent="0.25">
      <c r="A577" s="5"/>
      <c r="B577" s="5"/>
      <c r="C577" s="5"/>
      <c r="D577" s="5">
        <v>7220</v>
      </c>
      <c r="E577" s="5" t="s">
        <v>291</v>
      </c>
    </row>
    <row r="578" spans="1:5" ht="13" x14ac:dyDescent="0.25">
      <c r="A578" s="5"/>
      <c r="B578" s="5"/>
      <c r="C578" s="5"/>
      <c r="D578" s="5"/>
      <c r="E578" s="5"/>
    </row>
    <row r="579" spans="1:5" ht="14" x14ac:dyDescent="0.25">
      <c r="A579" s="3">
        <v>8</v>
      </c>
      <c r="B579" s="3"/>
      <c r="C579" s="3"/>
      <c r="D579" s="3"/>
      <c r="E579" s="3" t="s">
        <v>589</v>
      </c>
    </row>
    <row r="580" spans="1:5" ht="13" x14ac:dyDescent="0.25">
      <c r="A580" s="5"/>
      <c r="B580" s="5"/>
      <c r="C580" s="5"/>
      <c r="D580" s="5"/>
      <c r="E580" s="5"/>
    </row>
    <row r="581" spans="1:5" ht="13" x14ac:dyDescent="0.25">
      <c r="A581" s="6"/>
      <c r="B581" s="6">
        <v>81</v>
      </c>
      <c r="C581" s="6"/>
      <c r="D581" s="6"/>
      <c r="E581" s="6" t="s">
        <v>589</v>
      </c>
    </row>
    <row r="582" spans="1:5" ht="13" x14ac:dyDescent="0.25">
      <c r="A582" s="5"/>
      <c r="B582" s="5"/>
      <c r="C582" s="5"/>
      <c r="D582" s="5"/>
      <c r="E582" s="5"/>
    </row>
    <row r="583" spans="1:5" ht="13" x14ac:dyDescent="0.25">
      <c r="A583" s="6"/>
      <c r="B583" s="6"/>
      <c r="C583" s="6">
        <v>811</v>
      </c>
      <c r="D583" s="6"/>
      <c r="E583" s="6" t="s">
        <v>590</v>
      </c>
    </row>
    <row r="584" spans="1:5" ht="13" x14ac:dyDescent="0.25">
      <c r="A584" s="5"/>
      <c r="B584" s="5"/>
      <c r="C584" s="5"/>
      <c r="D584" s="5"/>
      <c r="E584" s="5"/>
    </row>
    <row r="585" spans="1:5" ht="13" x14ac:dyDescent="0.25">
      <c r="A585" s="5"/>
      <c r="B585" s="5"/>
      <c r="C585" s="5"/>
      <c r="D585" s="5">
        <v>8111</v>
      </c>
      <c r="E585" s="5" t="s">
        <v>190</v>
      </c>
    </row>
    <row r="586" spans="1:5" ht="13" x14ac:dyDescent="0.25">
      <c r="A586" s="5"/>
      <c r="B586" s="5"/>
      <c r="C586" s="5"/>
      <c r="D586" s="5">
        <v>8112</v>
      </c>
      <c r="E586" s="5" t="s">
        <v>191</v>
      </c>
    </row>
    <row r="587" spans="1:5" ht="13" x14ac:dyDescent="0.25">
      <c r="A587" s="5"/>
      <c r="B587" s="5"/>
      <c r="C587" s="5"/>
      <c r="D587" s="5">
        <v>8113</v>
      </c>
      <c r="E587" s="5" t="s">
        <v>192</v>
      </c>
    </row>
    <row r="588" spans="1:5" ht="13" x14ac:dyDescent="0.25">
      <c r="A588" s="5"/>
      <c r="B588" s="5"/>
      <c r="C588" s="5"/>
      <c r="D588" s="5">
        <v>8114</v>
      </c>
      <c r="E588" s="5" t="s">
        <v>193</v>
      </c>
    </row>
    <row r="589" spans="1:5" ht="13" x14ac:dyDescent="0.25">
      <c r="A589" s="5"/>
      <c r="B589" s="5"/>
      <c r="C589" s="5"/>
      <c r="D589" s="5">
        <v>8115</v>
      </c>
      <c r="E589" s="5" t="s">
        <v>194</v>
      </c>
    </row>
    <row r="590" spans="1:5" ht="13" x14ac:dyDescent="0.25">
      <c r="A590" s="5"/>
      <c r="B590" s="5"/>
      <c r="C590" s="5"/>
      <c r="D590" s="5">
        <v>8116</v>
      </c>
      <c r="E590" s="5" t="s">
        <v>195</v>
      </c>
    </row>
    <row r="591" spans="1:5" ht="13" x14ac:dyDescent="0.25">
      <c r="A591" s="5"/>
      <c r="B591" s="5"/>
      <c r="C591" s="5"/>
      <c r="D591" s="5">
        <v>8117</v>
      </c>
      <c r="E591" s="5" t="s">
        <v>196</v>
      </c>
    </row>
    <row r="592" spans="1:5" ht="13" x14ac:dyDescent="0.25">
      <c r="A592" s="5"/>
      <c r="B592" s="5"/>
      <c r="C592" s="5"/>
      <c r="D592" s="5">
        <v>8118</v>
      </c>
      <c r="E592" s="5" t="s">
        <v>197</v>
      </c>
    </row>
    <row r="593" spans="1:5" ht="13" x14ac:dyDescent="0.25">
      <c r="A593" s="5"/>
      <c r="B593" s="5"/>
      <c r="C593" s="5"/>
      <c r="D593" s="5">
        <v>8119</v>
      </c>
      <c r="E593" s="5" t="s">
        <v>198</v>
      </c>
    </row>
    <row r="594" spans="1:5" ht="13" x14ac:dyDescent="0.25">
      <c r="A594" s="5"/>
      <c r="B594" s="5"/>
      <c r="C594" s="5"/>
      <c r="D594" s="5"/>
      <c r="E594" s="5"/>
    </row>
    <row r="595" spans="1:5" ht="13" x14ac:dyDescent="0.25">
      <c r="A595" s="6"/>
      <c r="B595" s="6"/>
      <c r="C595" s="6">
        <v>812</v>
      </c>
      <c r="D595" s="6"/>
      <c r="E595" s="6" t="s">
        <v>592</v>
      </c>
    </row>
    <row r="596" spans="1:5" ht="13" x14ac:dyDescent="0.25">
      <c r="A596" s="5"/>
      <c r="B596" s="5"/>
      <c r="C596" s="5"/>
      <c r="D596" s="5"/>
      <c r="E596" s="5"/>
    </row>
    <row r="597" spans="1:5" ht="13" x14ac:dyDescent="0.25">
      <c r="A597" s="5"/>
      <c r="B597" s="5"/>
      <c r="C597" s="5"/>
      <c r="D597" s="5">
        <v>8121</v>
      </c>
      <c r="E597" s="5" t="s">
        <v>199</v>
      </c>
    </row>
    <row r="598" spans="1:5" ht="13" x14ac:dyDescent="0.25">
      <c r="A598" s="5"/>
      <c r="B598" s="5"/>
      <c r="C598" s="5"/>
      <c r="D598" s="5">
        <v>8122</v>
      </c>
      <c r="E598" s="5" t="s">
        <v>200</v>
      </c>
    </row>
    <row r="599" spans="1:5" ht="13" x14ac:dyDescent="0.25">
      <c r="A599" s="5"/>
      <c r="B599" s="5"/>
      <c r="C599" s="5"/>
      <c r="D599" s="5">
        <v>8123</v>
      </c>
      <c r="E599" s="5" t="s">
        <v>201</v>
      </c>
    </row>
    <row r="600" spans="1:5" ht="13" x14ac:dyDescent="0.25">
      <c r="A600" s="5"/>
      <c r="B600" s="5"/>
      <c r="C600" s="5"/>
      <c r="D600" s="5">
        <v>8124</v>
      </c>
      <c r="E600" s="5" t="s">
        <v>202</v>
      </c>
    </row>
    <row r="601" spans="1:5" ht="13" x14ac:dyDescent="0.25">
      <c r="A601" s="5"/>
      <c r="B601" s="5"/>
      <c r="C601" s="5"/>
      <c r="D601" s="5">
        <v>8125</v>
      </c>
      <c r="E601" s="5" t="s">
        <v>203</v>
      </c>
    </row>
    <row r="602" spans="1:5" ht="13" x14ac:dyDescent="0.25">
      <c r="A602" s="5"/>
      <c r="B602" s="5"/>
      <c r="C602" s="5"/>
      <c r="D602" s="5">
        <v>8126</v>
      </c>
      <c r="E602" s="5" t="s">
        <v>204</v>
      </c>
    </row>
    <row r="603" spans="1:5" ht="13" x14ac:dyDescent="0.25">
      <c r="A603" s="5"/>
      <c r="B603" s="5"/>
      <c r="C603" s="5"/>
      <c r="D603" s="5">
        <v>8127</v>
      </c>
      <c r="E603" s="5" t="s">
        <v>205</v>
      </c>
    </row>
    <row r="604" spans="1:5" ht="13" x14ac:dyDescent="0.25">
      <c r="A604" s="5"/>
      <c r="B604" s="5"/>
      <c r="C604" s="5"/>
      <c r="D604" s="5">
        <v>8129</v>
      </c>
      <c r="E604" s="5" t="s">
        <v>206</v>
      </c>
    </row>
    <row r="605" spans="1:5" ht="13" x14ac:dyDescent="0.25">
      <c r="A605" s="5"/>
      <c r="B605" s="5"/>
      <c r="C605" s="5"/>
      <c r="D605" s="5"/>
      <c r="E605" s="5"/>
    </row>
    <row r="606" spans="1:5" ht="13" x14ac:dyDescent="0.25">
      <c r="A606" s="6"/>
      <c r="B606" s="6"/>
      <c r="C606" s="6">
        <v>813</v>
      </c>
      <c r="D606" s="6"/>
      <c r="E606" s="6" t="s">
        <v>593</v>
      </c>
    </row>
    <row r="607" spans="1:5" ht="13" x14ac:dyDescent="0.25">
      <c r="A607" s="5"/>
      <c r="B607" s="5"/>
      <c r="C607" s="5"/>
      <c r="D607" s="5"/>
      <c r="E607" s="5"/>
    </row>
    <row r="608" spans="1:5" ht="13" x14ac:dyDescent="0.25">
      <c r="A608" s="5"/>
      <c r="B608" s="5"/>
      <c r="C608" s="5"/>
      <c r="D608" s="5">
        <v>8131</v>
      </c>
      <c r="E608" s="5" t="s">
        <v>207</v>
      </c>
    </row>
    <row r="609" spans="1:5" ht="13" x14ac:dyDescent="0.25">
      <c r="A609" s="5"/>
      <c r="B609" s="5"/>
      <c r="C609" s="5"/>
      <c r="D609" s="5">
        <v>8132</v>
      </c>
      <c r="E609" s="5" t="s">
        <v>208</v>
      </c>
    </row>
    <row r="610" spans="1:5" ht="13" x14ac:dyDescent="0.25">
      <c r="A610" s="5"/>
      <c r="B610" s="5"/>
      <c r="C610" s="5"/>
      <c r="D610" s="5">
        <v>8133</v>
      </c>
      <c r="E610" s="5" t="s">
        <v>209</v>
      </c>
    </row>
    <row r="611" spans="1:5" ht="13" x14ac:dyDescent="0.25">
      <c r="A611" s="5"/>
      <c r="B611" s="5"/>
      <c r="C611" s="5"/>
      <c r="D611" s="5">
        <v>8134</v>
      </c>
      <c r="E611" s="5" t="s">
        <v>210</v>
      </c>
    </row>
    <row r="612" spans="1:5" ht="13" x14ac:dyDescent="0.25">
      <c r="A612" s="5"/>
      <c r="B612" s="5"/>
      <c r="C612" s="5"/>
      <c r="D612" s="5">
        <v>8135</v>
      </c>
      <c r="E612" s="5" t="s">
        <v>211</v>
      </c>
    </row>
    <row r="613" spans="1:5" ht="13" x14ac:dyDescent="0.25">
      <c r="A613" s="5"/>
      <c r="B613" s="5"/>
      <c r="C613" s="5"/>
      <c r="D613" s="5">
        <v>8137</v>
      </c>
      <c r="E613" s="5" t="s">
        <v>594</v>
      </c>
    </row>
    <row r="614" spans="1:5" ht="13" x14ac:dyDescent="0.25">
      <c r="A614" s="5"/>
      <c r="B614" s="5"/>
      <c r="C614" s="5"/>
      <c r="D614" s="5">
        <v>8139</v>
      </c>
      <c r="E614" s="5" t="s">
        <v>212</v>
      </c>
    </row>
    <row r="615" spans="1:5" ht="13" x14ac:dyDescent="0.25">
      <c r="A615" s="5"/>
      <c r="B615" s="5"/>
      <c r="C615" s="5"/>
      <c r="D615" s="5"/>
      <c r="E615" s="5"/>
    </row>
    <row r="616" spans="1:5" ht="13" x14ac:dyDescent="0.25">
      <c r="A616" s="6"/>
      <c r="B616" s="6"/>
      <c r="C616" s="6">
        <v>814</v>
      </c>
      <c r="D616" s="6"/>
      <c r="E616" s="6" t="s">
        <v>595</v>
      </c>
    </row>
    <row r="617" spans="1:5" ht="13" x14ac:dyDescent="0.25">
      <c r="A617" s="5"/>
      <c r="B617" s="5"/>
      <c r="C617" s="5"/>
      <c r="D617" s="5"/>
      <c r="E617" s="5"/>
    </row>
    <row r="618" spans="1:5" ht="13" x14ac:dyDescent="0.25">
      <c r="A618" s="5"/>
      <c r="B618" s="5"/>
      <c r="C618" s="5"/>
      <c r="D618" s="5">
        <v>8141</v>
      </c>
      <c r="E618" s="5" t="s">
        <v>213</v>
      </c>
    </row>
    <row r="619" spans="1:5" ht="13" x14ac:dyDescent="0.25">
      <c r="A619" s="5"/>
      <c r="B619" s="5"/>
      <c r="C619" s="5"/>
      <c r="D619" s="5">
        <v>8142</v>
      </c>
      <c r="E619" s="5" t="s">
        <v>214</v>
      </c>
    </row>
    <row r="620" spans="1:5" ht="13" x14ac:dyDescent="0.25">
      <c r="A620" s="5"/>
      <c r="B620" s="5"/>
      <c r="C620" s="5"/>
      <c r="D620" s="5">
        <v>8143</v>
      </c>
      <c r="E620" s="5" t="s">
        <v>215</v>
      </c>
    </row>
    <row r="621" spans="1:5" ht="13" x14ac:dyDescent="0.25">
      <c r="A621" s="5"/>
      <c r="B621" s="5"/>
      <c r="C621" s="5"/>
      <c r="D621" s="5">
        <v>8149</v>
      </c>
      <c r="E621" s="5" t="s">
        <v>216</v>
      </c>
    </row>
    <row r="622" spans="1:5" ht="13" x14ac:dyDescent="0.25">
      <c r="A622" s="6"/>
      <c r="B622" s="6"/>
      <c r="C622" s="6"/>
      <c r="D622" s="6"/>
      <c r="E622" s="6"/>
    </row>
    <row r="623" spans="1:5" ht="13" x14ac:dyDescent="0.25">
      <c r="A623" s="6"/>
      <c r="B623" s="6">
        <v>82</v>
      </c>
      <c r="C623" s="6"/>
      <c r="D623" s="6"/>
      <c r="E623" s="6" t="s">
        <v>597</v>
      </c>
    </row>
    <row r="624" spans="1:5" ht="13" x14ac:dyDescent="0.25">
      <c r="A624" s="5"/>
      <c r="B624" s="5"/>
      <c r="C624" s="5"/>
      <c r="D624" s="5"/>
      <c r="E624" s="5"/>
    </row>
    <row r="625" spans="1:5" ht="13" x14ac:dyDescent="0.25">
      <c r="A625" s="6"/>
      <c r="B625" s="6"/>
      <c r="C625" s="6">
        <v>821</v>
      </c>
      <c r="D625" s="6"/>
      <c r="E625" s="6" t="s">
        <v>598</v>
      </c>
    </row>
    <row r="626" spans="1:5" ht="13" x14ac:dyDescent="0.25">
      <c r="A626" s="5"/>
      <c r="B626" s="5"/>
      <c r="C626" s="5"/>
      <c r="D626" s="5"/>
      <c r="E626" s="5"/>
    </row>
    <row r="627" spans="1:5" ht="13" x14ac:dyDescent="0.25">
      <c r="A627" s="5"/>
      <c r="B627" s="5"/>
      <c r="C627" s="5"/>
      <c r="D627" s="5">
        <v>8211</v>
      </c>
      <c r="E627" s="5" t="s">
        <v>217</v>
      </c>
    </row>
    <row r="628" spans="1:5" ht="13" x14ac:dyDescent="0.25">
      <c r="A628" s="5"/>
      <c r="B628" s="5"/>
      <c r="C628" s="5"/>
      <c r="D628" s="5">
        <v>8212</v>
      </c>
      <c r="E628" s="5" t="s">
        <v>218</v>
      </c>
    </row>
    <row r="629" spans="1:5" ht="13" x14ac:dyDescent="0.25">
      <c r="A629" s="5"/>
      <c r="B629" s="5"/>
      <c r="C629" s="5"/>
      <c r="D629" s="5">
        <v>8213</v>
      </c>
      <c r="E629" s="5" t="s">
        <v>219</v>
      </c>
    </row>
    <row r="630" spans="1:5" ht="13" x14ac:dyDescent="0.25">
      <c r="A630" s="5"/>
      <c r="B630" s="5"/>
      <c r="C630" s="5"/>
      <c r="D630" s="5">
        <v>8214</v>
      </c>
      <c r="E630" s="5" t="s">
        <v>220</v>
      </c>
    </row>
    <row r="631" spans="1:5" ht="13" x14ac:dyDescent="0.25">
      <c r="A631" s="5"/>
      <c r="B631" s="5"/>
      <c r="C631" s="5"/>
      <c r="D631" s="5">
        <v>8215</v>
      </c>
      <c r="E631" s="5" t="s">
        <v>221</v>
      </c>
    </row>
    <row r="632" spans="1:5" ht="13" x14ac:dyDescent="0.25">
      <c r="A632" s="5"/>
      <c r="B632" s="5"/>
      <c r="C632" s="5"/>
      <c r="D632" s="5"/>
      <c r="E632" s="5"/>
    </row>
    <row r="633" spans="1:5" ht="13" x14ac:dyDescent="0.25">
      <c r="A633" s="17"/>
      <c r="B633" s="17"/>
      <c r="C633" s="6"/>
      <c r="D633" s="17"/>
      <c r="E633" s="6"/>
    </row>
    <row r="634" spans="1:5" ht="13" x14ac:dyDescent="0.25">
      <c r="A634" s="17"/>
      <c r="B634" s="17"/>
      <c r="C634" s="6">
        <v>822</v>
      </c>
      <c r="D634" s="17"/>
      <c r="E634" s="6" t="s">
        <v>601</v>
      </c>
    </row>
    <row r="635" spans="1:5" ht="13" x14ac:dyDescent="0.25">
      <c r="A635" s="5"/>
      <c r="B635" s="5"/>
      <c r="C635" s="5"/>
      <c r="D635" s="5"/>
      <c r="E635" s="5"/>
    </row>
    <row r="636" spans="1:5" ht="13" x14ac:dyDescent="0.25">
      <c r="A636" s="5"/>
      <c r="B636" s="5"/>
      <c r="C636" s="5"/>
      <c r="D636" s="5">
        <v>8221</v>
      </c>
      <c r="E636" s="5" t="s">
        <v>222</v>
      </c>
    </row>
    <row r="637" spans="1:5" ht="13" x14ac:dyDescent="0.25">
      <c r="A637" s="5"/>
      <c r="B637" s="5"/>
      <c r="C637" s="5"/>
      <c r="D637" s="5">
        <v>8222</v>
      </c>
      <c r="E637" s="5" t="s">
        <v>223</v>
      </c>
    </row>
    <row r="638" spans="1:5" ht="13" x14ac:dyDescent="0.25">
      <c r="A638" s="5"/>
      <c r="B638" s="5"/>
      <c r="C638" s="5"/>
      <c r="D638" s="5">
        <v>8223</v>
      </c>
      <c r="E638" s="5" t="s">
        <v>224</v>
      </c>
    </row>
    <row r="639" spans="1:5" ht="13" x14ac:dyDescent="0.25">
      <c r="A639" s="5"/>
      <c r="B639" s="5"/>
      <c r="C639" s="5"/>
      <c r="D639" s="5">
        <v>8229</v>
      </c>
      <c r="E639" s="5" t="s">
        <v>225</v>
      </c>
    </row>
    <row r="640" spans="1:5" ht="13" x14ac:dyDescent="0.25">
      <c r="A640" s="5"/>
      <c r="B640" s="5"/>
      <c r="C640" s="5"/>
      <c r="D640" s="5"/>
      <c r="E640" s="5"/>
    </row>
    <row r="641" spans="1:5" ht="13" x14ac:dyDescent="0.25">
      <c r="A641" s="6"/>
      <c r="B641" s="6"/>
      <c r="C641" s="6">
        <v>823</v>
      </c>
      <c r="D641" s="6"/>
      <c r="E641" s="6" t="s">
        <v>602</v>
      </c>
    </row>
    <row r="642" spans="1:5" ht="13" x14ac:dyDescent="0.25">
      <c r="A642" s="5"/>
      <c r="B642" s="5"/>
      <c r="C642" s="5"/>
      <c r="D642" s="5"/>
      <c r="E642" s="5"/>
    </row>
    <row r="643" spans="1:5" ht="13" x14ac:dyDescent="0.25">
      <c r="A643" s="5"/>
      <c r="B643" s="5"/>
      <c r="C643" s="5"/>
      <c r="D643" s="5">
        <v>8231</v>
      </c>
      <c r="E643" s="5" t="s">
        <v>226</v>
      </c>
    </row>
    <row r="644" spans="1:5" ht="13" x14ac:dyDescent="0.25">
      <c r="A644" s="5"/>
      <c r="B644" s="5"/>
      <c r="C644" s="5"/>
      <c r="D644" s="5">
        <v>8232</v>
      </c>
      <c r="E644" s="5" t="s">
        <v>227</v>
      </c>
    </row>
    <row r="645" spans="1:5" ht="13" x14ac:dyDescent="0.25">
      <c r="A645" s="5"/>
      <c r="B645" s="5"/>
      <c r="C645" s="5"/>
      <c r="D645" s="5">
        <v>8233</v>
      </c>
      <c r="E645" s="5" t="s">
        <v>228</v>
      </c>
    </row>
    <row r="646" spans="1:5" ht="13" x14ac:dyDescent="0.25">
      <c r="A646" s="5"/>
      <c r="B646" s="5"/>
      <c r="C646" s="5"/>
      <c r="D646" s="5">
        <v>8234</v>
      </c>
      <c r="E646" s="5" t="s">
        <v>229</v>
      </c>
    </row>
    <row r="647" spans="1:5" ht="13" x14ac:dyDescent="0.25">
      <c r="A647" s="5"/>
      <c r="B647" s="5"/>
      <c r="C647" s="5"/>
      <c r="D647" s="5">
        <v>8239</v>
      </c>
      <c r="E647" s="5" t="s">
        <v>230</v>
      </c>
    </row>
    <row r="648" spans="1:5" ht="13" x14ac:dyDescent="0.25">
      <c r="A648" s="5"/>
      <c r="B648" s="5"/>
      <c r="C648" s="5"/>
      <c r="D648" s="5"/>
      <c r="E648" s="5"/>
    </row>
    <row r="649" spans="1:5" ht="14" x14ac:dyDescent="0.25">
      <c r="A649" s="3">
        <v>9</v>
      </c>
      <c r="B649" s="3"/>
      <c r="C649" s="3"/>
      <c r="D649" s="3"/>
      <c r="E649" s="3" t="s">
        <v>603</v>
      </c>
    </row>
    <row r="650" spans="1:5" ht="13" x14ac:dyDescent="0.25">
      <c r="A650" s="5"/>
      <c r="B650" s="5"/>
      <c r="C650" s="5"/>
      <c r="D650" s="5"/>
      <c r="E650" s="5"/>
    </row>
    <row r="651" spans="1:5" ht="13" x14ac:dyDescent="0.25">
      <c r="A651" s="6"/>
      <c r="B651" s="6">
        <v>91</v>
      </c>
      <c r="C651" s="6"/>
      <c r="D651" s="6"/>
      <c r="E651" s="6" t="s">
        <v>604</v>
      </c>
    </row>
    <row r="652" spans="1:5" ht="13" x14ac:dyDescent="0.25">
      <c r="A652" s="5"/>
      <c r="B652" s="5"/>
      <c r="C652" s="5"/>
      <c r="D652" s="5"/>
      <c r="E652" s="5"/>
    </row>
    <row r="653" spans="1:5" ht="13" x14ac:dyDescent="0.25">
      <c r="A653" s="6"/>
      <c r="B653" s="6"/>
      <c r="C653" s="6">
        <v>911</v>
      </c>
      <c r="D653" s="6"/>
      <c r="E653" s="6" t="s">
        <v>605</v>
      </c>
    </row>
    <row r="654" spans="1:5" ht="13" x14ac:dyDescent="0.25">
      <c r="A654" s="5"/>
      <c r="B654" s="5"/>
      <c r="C654" s="5"/>
      <c r="D654" s="5"/>
      <c r="E654" s="5"/>
    </row>
    <row r="655" spans="1:5" ht="13" x14ac:dyDescent="0.25">
      <c r="A655" s="5"/>
      <c r="B655" s="5"/>
      <c r="C655" s="5"/>
      <c r="D655" s="5">
        <v>9111</v>
      </c>
      <c r="E655" s="5" t="s">
        <v>606</v>
      </c>
    </row>
    <row r="656" spans="1:5" ht="13" x14ac:dyDescent="0.25">
      <c r="A656" s="5"/>
      <c r="B656" s="5"/>
      <c r="C656" s="5"/>
      <c r="D656" s="5">
        <v>9112</v>
      </c>
      <c r="E656" s="5" t="s">
        <v>292</v>
      </c>
    </row>
    <row r="657" spans="1:5" ht="13" x14ac:dyDescent="0.25">
      <c r="A657" s="5"/>
      <c r="B657" s="5"/>
      <c r="C657" s="5"/>
      <c r="D657" s="5">
        <v>9119</v>
      </c>
      <c r="E657" s="5" t="s">
        <v>607</v>
      </c>
    </row>
    <row r="658" spans="1:5" ht="13" x14ac:dyDescent="0.25">
      <c r="A658" s="5"/>
      <c r="B658" s="5"/>
      <c r="C658" s="5"/>
      <c r="D658" s="5"/>
      <c r="E658" s="5"/>
    </row>
    <row r="659" spans="1:5" ht="13" x14ac:dyDescent="0.25">
      <c r="A659" s="6"/>
      <c r="B659" s="6"/>
      <c r="C659" s="6">
        <v>912</v>
      </c>
      <c r="D659" s="6"/>
      <c r="E659" s="6" t="s">
        <v>608</v>
      </c>
    </row>
    <row r="660" spans="1:5" ht="13" x14ac:dyDescent="0.25">
      <c r="A660" s="5"/>
      <c r="B660" s="5"/>
      <c r="C660" s="5"/>
      <c r="D660" s="5"/>
      <c r="E660" s="5"/>
    </row>
    <row r="661" spans="1:5" ht="13" x14ac:dyDescent="0.25">
      <c r="A661" s="5"/>
      <c r="B661" s="5"/>
      <c r="C661" s="5"/>
      <c r="D661" s="5">
        <v>9120</v>
      </c>
      <c r="E661" s="5" t="s">
        <v>231</v>
      </c>
    </row>
    <row r="662" spans="1:5" ht="13" x14ac:dyDescent="0.25">
      <c r="A662" s="5"/>
      <c r="B662" s="5"/>
      <c r="C662" s="5"/>
      <c r="D662" s="5"/>
      <c r="E662" s="5"/>
    </row>
    <row r="663" spans="1:5" ht="13" x14ac:dyDescent="0.25">
      <c r="A663" s="6"/>
      <c r="B663" s="6"/>
      <c r="C663" s="6">
        <v>913</v>
      </c>
      <c r="D663" s="6"/>
      <c r="E663" s="6" t="s">
        <v>609</v>
      </c>
    </row>
    <row r="664" spans="1:5" ht="13" x14ac:dyDescent="0.25">
      <c r="A664" s="5"/>
      <c r="B664" s="5"/>
      <c r="C664" s="5"/>
      <c r="D664" s="5"/>
      <c r="E664" s="5"/>
    </row>
    <row r="665" spans="1:5" ht="13" x14ac:dyDescent="0.25">
      <c r="A665" s="5"/>
      <c r="B665" s="5"/>
      <c r="C665" s="5"/>
      <c r="D665" s="5">
        <v>9132</v>
      </c>
      <c r="E665" s="5" t="s">
        <v>243</v>
      </c>
    </row>
    <row r="666" spans="1:5" ht="13" x14ac:dyDescent="0.25">
      <c r="A666" s="5"/>
      <c r="B666" s="5"/>
      <c r="C666" s="5"/>
      <c r="D666" s="5">
        <v>9134</v>
      </c>
      <c r="E666" s="5" t="s">
        <v>232</v>
      </c>
    </row>
    <row r="667" spans="1:5" ht="13" x14ac:dyDescent="0.25">
      <c r="A667" s="5"/>
      <c r="B667" s="5"/>
      <c r="C667" s="5"/>
      <c r="D667" s="5">
        <v>9139</v>
      </c>
      <c r="E667" s="5" t="s">
        <v>233</v>
      </c>
    </row>
    <row r="668" spans="1:5" ht="13" x14ac:dyDescent="0.25">
      <c r="A668" s="5"/>
      <c r="B668" s="5"/>
      <c r="C668" s="5"/>
      <c r="D668" s="5"/>
      <c r="E668" s="5"/>
    </row>
    <row r="669" spans="1:5" ht="13" x14ac:dyDescent="0.25">
      <c r="A669" s="6"/>
      <c r="B669" s="6">
        <v>92</v>
      </c>
      <c r="C669" s="6"/>
      <c r="D669" s="6"/>
      <c r="E669" s="6" t="s">
        <v>610</v>
      </c>
    </row>
    <row r="670" spans="1:5" ht="13" x14ac:dyDescent="0.25">
      <c r="A670" s="5"/>
      <c r="B670" s="5"/>
      <c r="C670" s="5"/>
      <c r="D670" s="5"/>
      <c r="E670" s="5"/>
    </row>
    <row r="671" spans="1:5" ht="13" x14ac:dyDescent="0.25">
      <c r="A671" s="6"/>
      <c r="B671" s="6"/>
      <c r="C671" s="6">
        <v>921</v>
      </c>
      <c r="D671" s="6"/>
      <c r="E671" s="6" t="s">
        <v>611</v>
      </c>
    </row>
    <row r="672" spans="1:5" ht="13" x14ac:dyDescent="0.25">
      <c r="A672" s="5"/>
      <c r="B672" s="5"/>
      <c r="C672" s="5"/>
      <c r="D672" s="5"/>
      <c r="E672" s="5"/>
    </row>
    <row r="673" spans="1:5" ht="13" x14ac:dyDescent="0.25">
      <c r="A673" s="5"/>
      <c r="B673" s="5"/>
      <c r="C673" s="5"/>
      <c r="D673" s="5">
        <v>9211</v>
      </c>
      <c r="E673" s="5" t="s">
        <v>679</v>
      </c>
    </row>
    <row r="674" spans="1:5" ht="13" x14ac:dyDescent="0.25">
      <c r="A674" s="5"/>
      <c r="B674" s="5"/>
      <c r="C674" s="5"/>
      <c r="D674" s="5">
        <v>9219</v>
      </c>
      <c r="E674" s="5" t="s">
        <v>613</v>
      </c>
    </row>
    <row r="675" spans="1:5" ht="13" x14ac:dyDescent="0.25">
      <c r="A675" s="5"/>
      <c r="B675" s="5"/>
      <c r="C675" s="5"/>
      <c r="D675" s="5"/>
      <c r="E675" s="5"/>
    </row>
    <row r="676" spans="1:5" ht="13" x14ac:dyDescent="0.25">
      <c r="A676" s="6"/>
      <c r="B676" s="6"/>
      <c r="C676" s="6">
        <v>923</v>
      </c>
      <c r="D676" s="6"/>
      <c r="E676" s="6" t="s">
        <v>614</v>
      </c>
    </row>
    <row r="677" spans="1:5" ht="13" x14ac:dyDescent="0.25">
      <c r="A677" s="5"/>
      <c r="B677" s="5"/>
      <c r="C677" s="5"/>
      <c r="D677" s="5"/>
      <c r="E677" s="5"/>
    </row>
    <row r="678" spans="1:5" ht="13" x14ac:dyDescent="0.25">
      <c r="A678" s="5"/>
      <c r="B678" s="5"/>
      <c r="C678" s="5"/>
      <c r="D678" s="5">
        <v>9231</v>
      </c>
      <c r="E678" s="5" t="s">
        <v>615</v>
      </c>
    </row>
    <row r="679" spans="1:5" ht="13" x14ac:dyDescent="0.25">
      <c r="A679" s="5"/>
      <c r="B679" s="5"/>
      <c r="C679" s="5"/>
      <c r="D679" s="5">
        <v>9232</v>
      </c>
      <c r="E679" s="5" t="s">
        <v>616</v>
      </c>
    </row>
    <row r="680" spans="1:5" ht="13" x14ac:dyDescent="0.25">
      <c r="A680" s="5"/>
      <c r="B680" s="5"/>
      <c r="C680" s="5"/>
      <c r="D680" s="5">
        <v>9233</v>
      </c>
      <c r="E680" s="5" t="s">
        <v>617</v>
      </c>
    </row>
    <row r="681" spans="1:5" ht="13" x14ac:dyDescent="0.25">
      <c r="A681" s="5"/>
      <c r="B681" s="5"/>
      <c r="C681" s="5"/>
      <c r="D681" s="5">
        <v>9234</v>
      </c>
      <c r="E681" s="5" t="s">
        <v>618</v>
      </c>
    </row>
    <row r="682" spans="1:5" ht="13" x14ac:dyDescent="0.25">
      <c r="A682" s="5"/>
      <c r="B682" s="5"/>
      <c r="C682" s="5"/>
      <c r="D682" s="5">
        <v>9235</v>
      </c>
      <c r="E682" s="5" t="s">
        <v>242</v>
      </c>
    </row>
    <row r="683" spans="1:5" ht="13" x14ac:dyDescent="0.25">
      <c r="A683" s="5"/>
      <c r="B683" s="5"/>
      <c r="C683" s="5"/>
      <c r="D683" s="5">
        <v>9236</v>
      </c>
      <c r="E683" s="5" t="s">
        <v>234</v>
      </c>
    </row>
    <row r="684" spans="1:5" ht="13" x14ac:dyDescent="0.25">
      <c r="A684" s="5"/>
      <c r="B684" s="5"/>
      <c r="C684" s="5"/>
      <c r="D684" s="5">
        <v>9239</v>
      </c>
      <c r="E684" s="5" t="s">
        <v>619</v>
      </c>
    </row>
    <row r="685" spans="1:5" ht="13" x14ac:dyDescent="0.25">
      <c r="A685" s="5"/>
      <c r="B685" s="5"/>
      <c r="C685" s="5"/>
      <c r="D685" s="5"/>
      <c r="E685" s="5"/>
    </row>
    <row r="686" spans="1:5" ht="13" x14ac:dyDescent="0.25">
      <c r="A686" s="6"/>
      <c r="B686" s="6"/>
      <c r="C686" s="6">
        <v>924</v>
      </c>
      <c r="D686" s="6"/>
      <c r="E686" s="6" t="s">
        <v>620</v>
      </c>
    </row>
    <row r="687" spans="1:5" ht="13" x14ac:dyDescent="0.25">
      <c r="A687" s="5"/>
      <c r="B687" s="5"/>
      <c r="C687" s="5"/>
      <c r="D687" s="5"/>
      <c r="E687" s="5"/>
    </row>
    <row r="688" spans="1:5" ht="13" x14ac:dyDescent="0.25">
      <c r="A688" s="5"/>
      <c r="B688" s="5"/>
      <c r="C688" s="5"/>
      <c r="D688" s="5">
        <v>9241</v>
      </c>
      <c r="E688" s="5" t="s">
        <v>621</v>
      </c>
    </row>
    <row r="689" spans="1:5" ht="13" x14ac:dyDescent="0.25">
      <c r="A689" s="5"/>
      <c r="B689" s="5"/>
      <c r="C689" s="5"/>
      <c r="D689" s="5">
        <v>9242</v>
      </c>
      <c r="E689" s="5" t="s">
        <v>566</v>
      </c>
    </row>
    <row r="690" spans="1:5" ht="13" x14ac:dyDescent="0.25">
      <c r="A690" s="5"/>
      <c r="B690" s="5"/>
      <c r="C690" s="5"/>
      <c r="D690" s="5">
        <v>9244</v>
      </c>
      <c r="E690" s="5" t="s">
        <v>622</v>
      </c>
    </row>
    <row r="691" spans="1:5" ht="13" x14ac:dyDescent="0.25">
      <c r="A691" s="5"/>
      <c r="B691" s="5"/>
      <c r="C691" s="5"/>
      <c r="D691" s="5">
        <v>9249</v>
      </c>
      <c r="E691" s="5" t="s">
        <v>680</v>
      </c>
    </row>
    <row r="692" spans="1:5" ht="13" x14ac:dyDescent="0.25">
      <c r="A692" s="5"/>
      <c r="B692" s="5"/>
      <c r="C692" s="5"/>
      <c r="D692" s="5"/>
      <c r="E692" s="5"/>
    </row>
    <row r="693" spans="1:5" ht="13" x14ac:dyDescent="0.25">
      <c r="A693" s="6"/>
      <c r="B693" s="6"/>
      <c r="C693" s="6">
        <v>925</v>
      </c>
      <c r="D693" s="6"/>
      <c r="E693" s="6" t="s">
        <v>624</v>
      </c>
    </row>
    <row r="694" spans="1:5" ht="13" x14ac:dyDescent="0.25">
      <c r="A694" s="5"/>
      <c r="B694" s="5"/>
      <c r="C694" s="5"/>
      <c r="D694" s="5"/>
      <c r="E694" s="5"/>
    </row>
    <row r="695" spans="1:5" ht="13" x14ac:dyDescent="0.25">
      <c r="A695" s="5"/>
      <c r="B695" s="5"/>
      <c r="C695" s="5"/>
      <c r="D695" s="5">
        <v>9251</v>
      </c>
      <c r="E695" s="5" t="s">
        <v>625</v>
      </c>
    </row>
    <row r="696" spans="1:5" ht="13" x14ac:dyDescent="0.25">
      <c r="A696" s="5"/>
      <c r="B696" s="5"/>
      <c r="C696" s="5"/>
      <c r="D696" s="5">
        <v>9259</v>
      </c>
      <c r="E696" s="5" t="s">
        <v>626</v>
      </c>
    </row>
    <row r="697" spans="1:5" ht="13" x14ac:dyDescent="0.25">
      <c r="A697" s="5"/>
      <c r="B697" s="5"/>
      <c r="C697" s="5"/>
      <c r="D697" s="5"/>
      <c r="E697" s="5"/>
    </row>
    <row r="698" spans="1:5" ht="13" x14ac:dyDescent="0.25">
      <c r="A698" s="6"/>
      <c r="B698" s="6"/>
      <c r="C698" s="6"/>
      <c r="D698" s="6"/>
      <c r="E698" s="6"/>
    </row>
    <row r="699" spans="1:5" ht="13" x14ac:dyDescent="0.25">
      <c r="A699" s="6"/>
      <c r="B699" s="6"/>
      <c r="C699" s="6">
        <v>926</v>
      </c>
      <c r="D699" s="6"/>
      <c r="E699" s="6" t="s">
        <v>627</v>
      </c>
    </row>
    <row r="700" spans="1:5" ht="13" x14ac:dyDescent="0.25">
      <c r="A700" s="5"/>
      <c r="B700" s="5"/>
      <c r="C700" s="5"/>
      <c r="D700" s="5"/>
      <c r="E700" s="5"/>
    </row>
    <row r="701" spans="1:5" ht="13" x14ac:dyDescent="0.25">
      <c r="A701" s="5"/>
      <c r="B701" s="5"/>
      <c r="C701" s="5"/>
      <c r="D701" s="5">
        <v>9260</v>
      </c>
      <c r="E701" s="5" t="s">
        <v>283</v>
      </c>
    </row>
    <row r="702" spans="1:5" ht="13" x14ac:dyDescent="0.25">
      <c r="A702" s="5"/>
      <c r="B702" s="5"/>
      <c r="C702" s="5"/>
      <c r="D702" s="5"/>
      <c r="E702" s="5"/>
    </row>
    <row r="703" spans="1:5" ht="13" x14ac:dyDescent="0.25">
      <c r="A703" s="6"/>
      <c r="B703" s="6"/>
      <c r="C703" s="6">
        <v>927</v>
      </c>
      <c r="D703" s="6"/>
      <c r="E703" s="6" t="s">
        <v>630</v>
      </c>
    </row>
    <row r="704" spans="1:5" ht="13" x14ac:dyDescent="0.25">
      <c r="A704" s="5"/>
      <c r="B704" s="5"/>
      <c r="C704" s="5"/>
      <c r="D704" s="5"/>
      <c r="E704" s="5"/>
    </row>
    <row r="705" spans="1:5" ht="13" x14ac:dyDescent="0.25">
      <c r="A705" s="5"/>
      <c r="B705" s="5"/>
      <c r="C705" s="5"/>
      <c r="D705" s="5">
        <v>9271</v>
      </c>
      <c r="E705" s="5" t="s">
        <v>235</v>
      </c>
    </row>
    <row r="706" spans="1:5" ht="13" x14ac:dyDescent="0.25">
      <c r="A706" s="5"/>
      <c r="B706" s="5"/>
      <c r="C706" s="5"/>
      <c r="D706" s="5">
        <v>9272</v>
      </c>
      <c r="E706" s="5" t="s">
        <v>632</v>
      </c>
    </row>
    <row r="707" spans="1:5" ht="13" x14ac:dyDescent="0.25">
      <c r="A707" s="5"/>
      <c r="B707" s="5"/>
      <c r="C707" s="5"/>
      <c r="D707" s="5">
        <v>9273</v>
      </c>
      <c r="E707" s="5" t="s">
        <v>633</v>
      </c>
    </row>
    <row r="708" spans="1:5" ht="13" x14ac:dyDescent="0.25">
      <c r="A708" s="5"/>
      <c r="B708" s="5"/>
      <c r="C708" s="5"/>
      <c r="D708" s="5">
        <v>9274</v>
      </c>
      <c r="E708" s="5" t="s">
        <v>634</v>
      </c>
    </row>
    <row r="709" spans="1:5" ht="13" x14ac:dyDescent="0.25">
      <c r="A709" s="5"/>
      <c r="B709" s="5"/>
      <c r="C709" s="5"/>
      <c r="D709" s="5">
        <v>9275</v>
      </c>
      <c r="E709" s="5" t="s">
        <v>636</v>
      </c>
    </row>
    <row r="710" spans="1:5" ht="13" x14ac:dyDescent="0.25">
      <c r="A710" s="5"/>
      <c r="B710" s="5"/>
      <c r="C710" s="5"/>
      <c r="D710" s="5">
        <v>9279</v>
      </c>
      <c r="E710" s="5" t="s">
        <v>637</v>
      </c>
    </row>
  </sheetData>
  <mergeCells count="13">
    <mergeCell ref="E1:E2"/>
    <mergeCell ref="A427:A428"/>
    <mergeCell ref="B427:B428"/>
    <mergeCell ref="C427:C428"/>
    <mergeCell ref="D427:D428"/>
    <mergeCell ref="E427:E428"/>
    <mergeCell ref="A633:A634"/>
    <mergeCell ref="B633:B634"/>
    <mergeCell ref="D633:D634"/>
    <mergeCell ref="A1:A2"/>
    <mergeCell ref="B1:B2"/>
    <mergeCell ref="C1:C2"/>
    <mergeCell ref="D1:D2"/>
  </mergeCells>
  <printOptions gridLines="1"/>
  <pageMargins left="0.74803149606299213" right="0.74803149606299213" top="0.74" bottom="0.74" header="0.51181102362204722" footer="0.51181102362204722"/>
  <pageSetup paperSize="9" scale="93" orientation="portrait" r:id="rId1"/>
  <headerFooter alignWithMargins="0">
    <oddHeader>&amp;C&amp;"Arial,Bold"SOC2010 STRUCTURE</oddHeader>
    <oddFooter>&amp;L&amp;8June 2010&amp;C&amp;P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 info</vt:lpstr>
      <vt:lpstr>sectorLookup</vt:lpstr>
      <vt:lpstr>sectorDescriptions</vt:lpstr>
      <vt:lpstr>SOC2020_Structure</vt:lpstr>
      <vt:lpstr>SOC2010_Structure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JAMES, Paul</cp:lastModifiedBy>
  <dcterms:created xsi:type="dcterms:W3CDTF">2023-08-24T08:14:25Z</dcterms:created>
  <dcterms:modified xsi:type="dcterms:W3CDTF">2023-10-19T15:01:42Z</dcterms:modified>
</cp:coreProperties>
</file>